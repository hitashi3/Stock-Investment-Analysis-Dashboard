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16a373d175555adb/Documents/datasets/ADV_EXCEL/"/>
    </mc:Choice>
  </mc:AlternateContent>
  <xr:revisionPtr revIDLastSave="2296" documentId="8_{DB3DF4FB-82B2-4772-9F2E-8BE524F4D30C}" xr6:coauthVersionLast="47" xr6:coauthVersionMax="47" xr10:uidLastSave="{2ED62817-D5E1-49FC-87DB-0881E3E4BBBD}"/>
  <bookViews>
    <workbookView xWindow="-108" yWindow="-108" windowWidth="23256" windowHeight="12456" activeTab="4" xr2:uid="{9FC19B91-4C74-40CF-BD99-590BD98588BD}"/>
  </bookViews>
  <sheets>
    <sheet name="DATA" sheetId="2" r:id="rId1"/>
    <sheet name="STOCK" sheetId="3" r:id="rId2"/>
    <sheet name="SECTOR" sheetId="5" r:id="rId3"/>
    <sheet name="PAYMENT" sheetId="6" r:id="rId4"/>
    <sheet name="VISUAL" sheetId="10" r:id="rId5"/>
    <sheet name="EXTRAS" sheetId="9" r:id="rId6"/>
  </sheets>
  <definedNames>
    <definedName name="_52_Week_High">DATA!$T$2:$T$86</definedName>
    <definedName name="_52_Week_Low">DATA!$U$2:$U$86</definedName>
    <definedName name="_xlnm._FilterDatabase" localSheetId="0" hidden="1">DATA!$A$1:$X$87</definedName>
    <definedName name="Brokerage_Paid">DATA!$L$2:$L$86</definedName>
    <definedName name="Buy_Date">DATA!$I$2:$I$86</definedName>
    <definedName name="Buy_Price">DATA!$J$2:$J$86</definedName>
    <definedName name="Current_Price">DATA!$N$2:$N$86</definedName>
    <definedName name="Dividend">DATA!$R$2:$R$86</definedName>
    <definedName name="Dividend_Received">DATA!$S$2:$S$86</definedName>
    <definedName name="email">DATA!$D$2:$D$86</definedName>
    <definedName name="Exchange">DATA!$G$2:$G$86</definedName>
    <definedName name="First_Name">DATA!$B$2:$B$86</definedName>
    <definedName name="Last_Name">DATA!$C$2:$C$86</definedName>
    <definedName name="NativeTimeline_Buy_Date">#N/A</definedName>
    <definedName name="No._of_Shares">DATA!$K$2:$K$86</definedName>
    <definedName name="number">DATA!$X$2:$X$86</definedName>
    <definedName name="Payment_Mode">DATA!$H$2:$H$86</definedName>
    <definedName name="Portfolio_Weight">DATA!$W$2:$W$86</definedName>
    <definedName name="Profit__Loss">DATA!$P$2:$P$86</definedName>
    <definedName name="Return">DATA!$Q$2:$Q$86</definedName>
    <definedName name="Sector">DATA!$F$2:$F$86</definedName>
    <definedName name="Slicer_Exchange">#N/A</definedName>
    <definedName name="Slicer_Payment_Mode">#N/A</definedName>
    <definedName name="Slicer_Sector">#N/A</definedName>
    <definedName name="Slicer_Status">#N/A</definedName>
    <definedName name="Slicer_Stock_Name">#N/A</definedName>
    <definedName name="Status">DATA!$V$2:$V$86</definedName>
    <definedName name="Stock_Name">DATA!$E$2:$E$86</definedName>
    <definedName name="Total_Current_Value">DATA!$O$2:$O$86</definedName>
    <definedName name="Total_Purchase_Price">DATA!$M$2:$M$86</definedName>
    <definedName name="User_ID">DATA!$A$2:$A$86</definedName>
    <definedName name="Week_High">DATA!$T$2:$T$86</definedName>
    <definedName name="Week_Low">DATA!$U$2:$U$86</definedName>
  </definedNames>
  <calcPr calcId="191029"/>
  <pivotCaches>
    <pivotCache cacheId="0" r:id="rId7"/>
    <pivotCache cacheId="14"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2" l="1" a="1"/>
  <c r="X2" i="2" s="1"/>
  <c r="D2" i="2" s="1"/>
  <c r="O3" i="2"/>
  <c r="O4" i="2"/>
  <c r="O5" i="2"/>
  <c r="S5" i="2" s="1"/>
  <c r="O6" i="2"/>
  <c r="S6" i="2" s="1"/>
  <c r="O7" i="2"/>
  <c r="S7" i="2" s="1"/>
  <c r="O8" i="2"/>
  <c r="S8" i="2" s="1"/>
  <c r="O9" i="2"/>
  <c r="S9" i="2" s="1"/>
  <c r="O10" i="2"/>
  <c r="S10" i="2" s="1"/>
  <c r="O11" i="2"/>
  <c r="S11" i="2" s="1"/>
  <c r="O12" i="2"/>
  <c r="O13" i="2"/>
  <c r="O14" i="2"/>
  <c r="O15" i="2"/>
  <c r="S15" i="2" s="1"/>
  <c r="O16" i="2"/>
  <c r="S16" i="2" s="1"/>
  <c r="O17" i="2"/>
  <c r="S17" i="2" s="1"/>
  <c r="O18" i="2"/>
  <c r="S18" i="2" s="1"/>
  <c r="O19" i="2"/>
  <c r="S19" i="2" s="1"/>
  <c r="O20" i="2"/>
  <c r="O21" i="2"/>
  <c r="S21" i="2" s="1"/>
  <c r="O22" i="2"/>
  <c r="S22" i="2" s="1"/>
  <c r="O23" i="2"/>
  <c r="S23" i="2" s="1"/>
  <c r="O24" i="2"/>
  <c r="S24" i="2" s="1"/>
  <c r="O25" i="2"/>
  <c r="O26" i="2"/>
  <c r="S26" i="2" s="1"/>
  <c r="O27" i="2"/>
  <c r="S27" i="2" s="1"/>
  <c r="O28" i="2"/>
  <c r="S28" i="2" s="1"/>
  <c r="O29" i="2"/>
  <c r="O30" i="2"/>
  <c r="O31" i="2"/>
  <c r="O32" i="2"/>
  <c r="S32" i="2" s="1"/>
  <c r="O33" i="2"/>
  <c r="S33" i="2" s="1"/>
  <c r="O34" i="2"/>
  <c r="S34" i="2" s="1"/>
  <c r="O35" i="2"/>
  <c r="S35" i="2" s="1"/>
  <c r="O36" i="2"/>
  <c r="O37" i="2"/>
  <c r="S37" i="2" s="1"/>
  <c r="O38" i="2"/>
  <c r="O39" i="2"/>
  <c r="S39" i="2" s="1"/>
  <c r="O40" i="2"/>
  <c r="S40" i="2" s="1"/>
  <c r="O41" i="2"/>
  <c r="S41" i="2" s="1"/>
  <c r="O42" i="2"/>
  <c r="S42" i="2" s="1"/>
  <c r="O43" i="2"/>
  <c r="O44" i="2"/>
  <c r="O45" i="2"/>
  <c r="O46" i="2"/>
  <c r="O47" i="2"/>
  <c r="O48" i="2"/>
  <c r="S48" i="2" s="1"/>
  <c r="O49" i="2"/>
  <c r="S49" i="2" s="1"/>
  <c r="O50" i="2"/>
  <c r="S50" i="2" s="1"/>
  <c r="O51" i="2"/>
  <c r="S51" i="2" s="1"/>
  <c r="O52" i="2"/>
  <c r="S52" i="2" s="1"/>
  <c r="O53" i="2"/>
  <c r="S53" i="2" s="1"/>
  <c r="O54" i="2"/>
  <c r="S54" i="2" s="1"/>
  <c r="O55" i="2"/>
  <c r="S55" i="2" s="1"/>
  <c r="O56" i="2"/>
  <c r="O57" i="2"/>
  <c r="O58" i="2"/>
  <c r="O59" i="2"/>
  <c r="O60" i="2"/>
  <c r="S60" i="2" s="1"/>
  <c r="O61" i="2"/>
  <c r="O62" i="2"/>
  <c r="O63" i="2"/>
  <c r="O64" i="2"/>
  <c r="O65" i="2"/>
  <c r="O66" i="2"/>
  <c r="O67" i="2"/>
  <c r="O68" i="2"/>
  <c r="O69" i="2"/>
  <c r="S69" i="2" s="1"/>
  <c r="O70" i="2"/>
  <c r="S70" i="2" s="1"/>
  <c r="O71" i="2"/>
  <c r="S71" i="2" s="1"/>
  <c r="O72" i="2"/>
  <c r="S72" i="2" s="1"/>
  <c r="O73" i="2"/>
  <c r="S73" i="2" s="1"/>
  <c r="O74" i="2"/>
  <c r="S74" i="2" s="1"/>
  <c r="O75" i="2"/>
  <c r="S75" i="2" s="1"/>
  <c r="O76" i="2"/>
  <c r="S76" i="2" s="1"/>
  <c r="O77" i="2"/>
  <c r="S77" i="2" s="1"/>
  <c r="O78" i="2"/>
  <c r="S78" i="2" s="1"/>
  <c r="O79" i="2"/>
  <c r="S79" i="2" s="1"/>
  <c r="O80" i="2"/>
  <c r="S80" i="2" s="1"/>
  <c r="O81" i="2"/>
  <c r="S81" i="2" s="1"/>
  <c r="O82" i="2"/>
  <c r="O83" i="2"/>
  <c r="O84" i="2"/>
  <c r="O85" i="2"/>
  <c r="O86" i="2"/>
  <c r="O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2" i="2"/>
  <c r="S2" i="2" l="1"/>
  <c r="O87" i="2"/>
  <c r="D70" i="2"/>
  <c r="D16" i="2"/>
  <c r="D69" i="2"/>
  <c r="D33" i="2"/>
  <c r="D86" i="2"/>
  <c r="D32" i="2"/>
  <c r="D67" i="2"/>
  <c r="D13" i="2"/>
  <c r="D66" i="2"/>
  <c r="D30" i="2"/>
  <c r="D65" i="2"/>
  <c r="D29" i="2"/>
  <c r="D82" i="2"/>
  <c r="D46" i="2"/>
  <c r="D81" i="2"/>
  <c r="D45" i="2"/>
  <c r="D27" i="2"/>
  <c r="D44" i="2"/>
  <c r="D8" i="2"/>
  <c r="D79" i="2"/>
  <c r="D61" i="2"/>
  <c r="D43" i="2"/>
  <c r="D25" i="2"/>
  <c r="D7" i="2"/>
  <c r="D78" i="2"/>
  <c r="D60" i="2"/>
  <c r="D42" i="2"/>
  <c r="D24" i="2"/>
  <c r="D6" i="2"/>
  <c r="D74" i="2"/>
  <c r="D56" i="2"/>
  <c r="D20" i="2"/>
  <c r="D73" i="2"/>
  <c r="D55" i="2"/>
  <c r="D37" i="2"/>
  <c r="D19" i="2"/>
  <c r="D72" i="2"/>
  <c r="D54" i="2"/>
  <c r="D18" i="2"/>
  <c r="D71" i="2"/>
  <c r="D53" i="2"/>
  <c r="D35" i="2"/>
  <c r="D17" i="2"/>
  <c r="D34" i="2"/>
  <c r="D51" i="2"/>
  <c r="D15" i="2"/>
  <c r="D68" i="2"/>
  <c r="D14" i="2"/>
  <c r="D85" i="2"/>
  <c r="D49" i="2"/>
  <c r="D31" i="2"/>
  <c r="D84" i="2"/>
  <c r="D12" i="2"/>
  <c r="D83" i="2"/>
  <c r="D47" i="2"/>
  <c r="D11" i="2"/>
  <c r="D64" i="2"/>
  <c r="D10" i="2"/>
  <c r="D63" i="2"/>
  <c r="D9" i="2"/>
  <c r="D62" i="2"/>
  <c r="D26" i="2"/>
  <c r="D77" i="2"/>
  <c r="D59" i="2"/>
  <c r="D41" i="2"/>
  <c r="D5" i="2"/>
  <c r="D76" i="2"/>
  <c r="D58" i="2"/>
  <c r="D40" i="2"/>
  <c r="D22" i="2"/>
  <c r="D4" i="2"/>
  <c r="D38" i="2"/>
  <c r="D36" i="2"/>
  <c r="D52" i="2"/>
  <c r="D50" i="2"/>
  <c r="D48" i="2"/>
  <c r="D28" i="2"/>
  <c r="D80" i="2"/>
  <c r="D23" i="2"/>
  <c r="D75" i="2"/>
  <c r="D57" i="2"/>
  <c r="D39" i="2"/>
  <c r="D21" i="2"/>
  <c r="D3" i="2"/>
  <c r="P86" i="2"/>
  <c r="Q86" i="2" s="1"/>
  <c r="P84" i="2"/>
  <c r="Q84" i="2" s="1"/>
  <c r="P30" i="2"/>
  <c r="Q30" i="2" s="1"/>
  <c r="P12" i="2"/>
  <c r="Q12" i="2" s="1"/>
  <c r="P85" i="2"/>
  <c r="Q85" i="2" s="1"/>
  <c r="P31" i="2"/>
  <c r="Q31" i="2" s="1"/>
  <c r="P83" i="2"/>
  <c r="Q83" i="2" s="1"/>
  <c r="P29" i="2"/>
  <c r="Q29" i="2" s="1"/>
  <c r="P78" i="2"/>
  <c r="Q78" i="2" s="1"/>
  <c r="P6" i="2"/>
  <c r="Q6" i="2" s="1"/>
  <c r="S31" i="2"/>
  <c r="P28" i="2"/>
  <c r="Q28" i="2" s="1"/>
  <c r="P59" i="2"/>
  <c r="Q59" i="2" s="1"/>
  <c r="S30" i="2"/>
  <c r="P81" i="2"/>
  <c r="Q81" i="2" s="1"/>
  <c r="P27" i="2"/>
  <c r="Q27" i="2" s="1"/>
  <c r="P76" i="2"/>
  <c r="Q76" i="2" s="1"/>
  <c r="P58" i="2"/>
  <c r="Q58" i="2" s="1"/>
  <c r="P4" i="2"/>
  <c r="Q4" i="2" s="1"/>
  <c r="S29" i="2"/>
  <c r="P80" i="2"/>
  <c r="Q80" i="2" s="1"/>
  <c r="P26" i="2"/>
  <c r="Q26" i="2" s="1"/>
  <c r="P75" i="2"/>
  <c r="Q75" i="2" s="1"/>
  <c r="P57" i="2"/>
  <c r="Q57" i="2" s="1"/>
  <c r="P3" i="2"/>
  <c r="Q3" i="2" s="1"/>
  <c r="S4" i="2"/>
  <c r="P79" i="2"/>
  <c r="Q79" i="2" s="1"/>
  <c r="P74" i="2"/>
  <c r="Q74" i="2" s="1"/>
  <c r="P56" i="2"/>
  <c r="Q56" i="2" s="1"/>
  <c r="P38" i="2"/>
  <c r="Q38" i="2" s="1"/>
  <c r="P20" i="2"/>
  <c r="Q20" i="2" s="1"/>
  <c r="P24" i="2"/>
  <c r="Q24" i="2" s="1"/>
  <c r="S3" i="2"/>
  <c r="P23" i="2"/>
  <c r="Q23" i="2" s="1"/>
  <c r="P22" i="2"/>
  <c r="Q22" i="2" s="1"/>
  <c r="P21" i="2"/>
  <c r="Q21" i="2" s="1"/>
  <c r="P77" i="2"/>
  <c r="Q77" i="2" s="1"/>
  <c r="P5" i="2"/>
  <c r="Q5" i="2" s="1"/>
  <c r="S59" i="2"/>
  <c r="S58" i="2"/>
  <c r="S57" i="2"/>
  <c r="S56" i="2"/>
  <c r="S20" i="2"/>
  <c r="P2" i="2"/>
  <c r="Q2" i="2" s="1"/>
  <c r="P69" i="2"/>
  <c r="Q69" i="2" s="1"/>
  <c r="S68" i="2"/>
  <c r="P68" i="2"/>
  <c r="Q68" i="2" s="1"/>
  <c r="S14" i="2"/>
  <c r="P14" i="2"/>
  <c r="Q14" i="2" s="1"/>
  <c r="S67" i="2"/>
  <c r="P67" i="2"/>
  <c r="Q67" i="2" s="1"/>
  <c r="S13" i="2"/>
  <c r="P13" i="2"/>
  <c r="Q13" i="2" s="1"/>
  <c r="S86" i="2"/>
  <c r="S66" i="2"/>
  <c r="P66" i="2"/>
  <c r="Q66" i="2" s="1"/>
  <c r="S85" i="2"/>
  <c r="S65" i="2"/>
  <c r="P65" i="2"/>
  <c r="Q65" i="2" s="1"/>
  <c r="S47" i="2"/>
  <c r="P47" i="2"/>
  <c r="Q47" i="2" s="1"/>
  <c r="S84" i="2"/>
  <c r="P15" i="2"/>
  <c r="Q15" i="2" s="1"/>
  <c r="S82" i="2"/>
  <c r="P82" i="2"/>
  <c r="Q82" i="2" s="1"/>
  <c r="S64" i="2"/>
  <c r="P64" i="2"/>
  <c r="Q64" i="2" s="1"/>
  <c r="S46" i="2"/>
  <c r="P46" i="2"/>
  <c r="Q46" i="2" s="1"/>
  <c r="P11" i="2"/>
  <c r="Q11" i="2" s="1"/>
  <c r="S83" i="2"/>
  <c r="S63" i="2"/>
  <c r="P63" i="2"/>
  <c r="Q63" i="2" s="1"/>
  <c r="S45" i="2"/>
  <c r="P45" i="2"/>
  <c r="Q45" i="2" s="1"/>
  <c r="P10" i="2"/>
  <c r="Q10" i="2" s="1"/>
  <c r="S62" i="2"/>
  <c r="P62" i="2"/>
  <c r="Q62" i="2" s="1"/>
  <c r="P51" i="2"/>
  <c r="Q51" i="2" s="1"/>
  <c r="P9" i="2"/>
  <c r="Q9" i="2" s="1"/>
  <c r="S61" i="2"/>
  <c r="P61" i="2"/>
  <c r="Q61" i="2" s="1"/>
  <c r="S43" i="2"/>
  <c r="P43" i="2"/>
  <c r="Q43" i="2" s="1"/>
  <c r="P50" i="2"/>
  <c r="Q50" i="2" s="1"/>
  <c r="P8" i="2"/>
  <c r="Q8" i="2" s="1"/>
  <c r="P49" i="2"/>
  <c r="Q49" i="2" s="1"/>
  <c r="P7" i="2"/>
  <c r="Q7" i="2" s="1"/>
  <c r="P48" i="2"/>
  <c r="Q48" i="2" s="1"/>
  <c r="P33" i="2"/>
  <c r="Q33" i="2" s="1"/>
  <c r="S44" i="2"/>
  <c r="P44" i="2"/>
  <c r="Q44" i="2" s="1"/>
  <c r="S12" i="2"/>
  <c r="S25" i="2"/>
  <c r="P25" i="2"/>
  <c r="Q25" i="2" s="1"/>
  <c r="P32" i="2"/>
  <c r="Q32" i="2" s="1"/>
  <c r="M87" i="2"/>
  <c r="W18" i="2" s="1"/>
  <c r="P55" i="2"/>
  <c r="Q55" i="2" s="1"/>
  <c r="P19" i="2"/>
  <c r="Q19" i="2" s="1"/>
  <c r="P42" i="2"/>
  <c r="Q42" i="2" s="1"/>
  <c r="P72" i="2"/>
  <c r="Q72" i="2" s="1"/>
  <c r="P18" i="2"/>
  <c r="Q18" i="2" s="1"/>
  <c r="P53" i="2"/>
  <c r="Q53" i="2" s="1"/>
  <c r="P35" i="2"/>
  <c r="Q35" i="2" s="1"/>
  <c r="S38" i="2"/>
  <c r="P52" i="2"/>
  <c r="Q52" i="2" s="1"/>
  <c r="P16" i="2"/>
  <c r="Q16" i="2" s="1"/>
  <c r="P39" i="2"/>
  <c r="Q39" i="2" s="1"/>
  <c r="P73" i="2"/>
  <c r="Q73" i="2" s="1"/>
  <c r="P37" i="2"/>
  <c r="Q37" i="2" s="1"/>
  <c r="P54" i="2"/>
  <c r="Q54" i="2" s="1"/>
  <c r="P36" i="2"/>
  <c r="Q36" i="2" s="1"/>
  <c r="P41" i="2"/>
  <c r="Q41" i="2" s="1"/>
  <c r="P71" i="2"/>
  <c r="Q71" i="2" s="1"/>
  <c r="P17" i="2"/>
  <c r="Q17" i="2" s="1"/>
  <c r="P40" i="2"/>
  <c r="Q40" i="2" s="1"/>
  <c r="P70" i="2"/>
  <c r="Q70" i="2" s="1"/>
  <c r="P34" i="2"/>
  <c r="Q34" i="2" s="1"/>
  <c r="P60" i="2"/>
  <c r="Q60" i="2" s="1"/>
  <c r="S36" i="2"/>
  <c r="W10" i="2" l="1"/>
  <c r="W6" i="2"/>
  <c r="W7" i="2"/>
  <c r="W61" i="2"/>
  <c r="W5" i="2"/>
  <c r="W55" i="2"/>
  <c r="W31" i="2"/>
  <c r="W85" i="2"/>
  <c r="W53" i="2"/>
  <c r="W42" i="2"/>
  <c r="W11" i="2"/>
  <c r="W78" i="2"/>
  <c r="W8" i="2"/>
  <c r="W9" i="2"/>
  <c r="W54" i="2"/>
  <c r="W33" i="2"/>
  <c r="W16" i="2"/>
  <c r="W13" i="2"/>
  <c r="W51" i="2"/>
  <c r="W39" i="2"/>
  <c r="W17" i="2"/>
  <c r="W3" i="2"/>
  <c r="W35" i="2"/>
  <c r="W75" i="2"/>
  <c r="W22" i="2"/>
  <c r="W58" i="2"/>
  <c r="W50" i="2"/>
  <c r="W15" i="2"/>
  <c r="W26" i="2"/>
  <c r="W28" i="2"/>
  <c r="W74" i="2"/>
  <c r="W29" i="2"/>
  <c r="W82" i="2"/>
  <c r="W56" i="2"/>
  <c r="W62" i="2"/>
  <c r="W63" i="2"/>
  <c r="W27" i="2"/>
  <c r="W80" i="2"/>
  <c r="W81" i="2"/>
  <c r="W83" i="2"/>
  <c r="W71" i="2"/>
  <c r="W38" i="2"/>
  <c r="W44" i="2"/>
  <c r="W45" i="2"/>
  <c r="W46" i="2"/>
  <c r="W47" i="2"/>
  <c r="W48" i="2"/>
  <c r="W64" i="2"/>
  <c r="W65" i="2"/>
  <c r="W66" i="2"/>
  <c r="W67" i="2"/>
  <c r="W68" i="2"/>
  <c r="W69" i="2"/>
  <c r="W70" i="2"/>
  <c r="W2" i="2"/>
  <c r="W4" i="2"/>
  <c r="W14" i="2"/>
  <c r="W40" i="2"/>
  <c r="W20" i="2"/>
  <c r="W24" i="2"/>
  <c r="W30" i="2"/>
  <c r="W86" i="2"/>
  <c r="W19" i="2"/>
  <c r="W41" i="2"/>
  <c r="W72" i="2"/>
  <c r="W77" i="2"/>
  <c r="W32" i="2"/>
  <c r="W76" i="2"/>
  <c r="W34" i="2"/>
  <c r="W60" i="2"/>
  <c r="W52" i="2"/>
  <c r="W25" i="2"/>
  <c r="W12" i="2"/>
  <c r="W73" i="2"/>
  <c r="W21" i="2"/>
  <c r="W43" i="2"/>
  <c r="W23" i="2"/>
  <c r="W84" i="2"/>
  <c r="W37" i="2"/>
  <c r="W57" i="2"/>
  <c r="W79" i="2"/>
  <c r="W59" i="2"/>
  <c r="W49" i="2"/>
  <c r="W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975188-D5AF-4C32-8305-BA79F87A645D}" keepAlive="1" name="Query - Dividend %" description="Connection to the 'Dividend %' query in the workbook." type="5" refreshedVersion="0" background="1">
    <dbPr connection="Provider=Microsoft.Mashup.OleDb.1;Data Source=$Workbook$;Location=&quot;Dividend %&quot;;Extended Properties=&quot;&quot;" command="SELECT * FROM [Dividend %]"/>
  </connection>
  <connection id="2" xr16:uid="{1C75321C-C150-43C0-B680-FE0F115AF00A}" keepAlive="1" name="Query - stock_portfolio_dataset" description="Connection to the 'stock_portfolio_dataset' query in the workbook." type="5" refreshedVersion="0" background="1">
    <dbPr connection="Provider=Microsoft.Mashup.OleDb.1;Data Source=$Workbook$;Location=stock_portfolio_dataset;Extended Properties=&quot;&quot;" command="SELECT * FROM [stock_portfolio_datase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<sst xmlns="http://schemas.openxmlformats.org/spreadsheetml/2006/main" count="838" uniqueCount="148">
  <si>
    <t>User ID</t>
  </si>
  <si>
    <t>First Name</t>
  </si>
  <si>
    <t>Last Name</t>
  </si>
  <si>
    <t>Stock Name</t>
  </si>
  <si>
    <t>Sector</t>
  </si>
  <si>
    <t>Exchange</t>
  </si>
  <si>
    <t>Payment Mode</t>
  </si>
  <si>
    <t>Buy Date</t>
  </si>
  <si>
    <t>Buy Price (₹)</t>
  </si>
  <si>
    <t>No. of Shares</t>
  </si>
  <si>
    <t>Brokerage Paid (₹)</t>
  </si>
  <si>
    <t>Current Price (₹)</t>
  </si>
  <si>
    <t>Dividend %</t>
  </si>
  <si>
    <t>52-Week High</t>
  </si>
  <si>
    <t>52-Week Low</t>
  </si>
  <si>
    <t>Status</t>
  </si>
  <si>
    <t>Kiran</t>
  </si>
  <si>
    <t>Tiwari</t>
  </si>
  <si>
    <t>Bajaj Finance</t>
  </si>
  <si>
    <t>Finance</t>
  </si>
  <si>
    <t>NSE</t>
  </si>
  <si>
    <t>UPI</t>
  </si>
  <si>
    <t>Sold</t>
  </si>
  <si>
    <t>Rohan</t>
  </si>
  <si>
    <t>Reddy</t>
  </si>
  <si>
    <t>IT</t>
  </si>
  <si>
    <t>Demat Transfer</t>
  </si>
  <si>
    <t>Hold</t>
  </si>
  <si>
    <t>Vikram</t>
  </si>
  <si>
    <t>Pillai</t>
  </si>
  <si>
    <t>Axis Bank</t>
  </si>
  <si>
    <t>Ananya</t>
  </si>
  <si>
    <t>Verma</t>
  </si>
  <si>
    <t>Tech Mahindra</t>
  </si>
  <si>
    <t>Tanvi</t>
  </si>
  <si>
    <t>Dr Reddy's</t>
  </si>
  <si>
    <t>Pharma</t>
  </si>
  <si>
    <t>Deepak</t>
  </si>
  <si>
    <t>Patel</t>
  </si>
  <si>
    <t>Power Grid</t>
  </si>
  <si>
    <t>Energy</t>
  </si>
  <si>
    <t>BSE</t>
  </si>
  <si>
    <t>Watch</t>
  </si>
  <si>
    <t>Raj</t>
  </si>
  <si>
    <t>Joshi</t>
  </si>
  <si>
    <t>ICICI Bank</t>
  </si>
  <si>
    <t>Gaurav</t>
  </si>
  <si>
    <t>Mishra</t>
  </si>
  <si>
    <t>Adani Ports</t>
  </si>
  <si>
    <t>Infrastructure</t>
  </si>
  <si>
    <t>Net Banking</t>
  </si>
  <si>
    <t>Rao</t>
  </si>
  <si>
    <t>Mohit</t>
  </si>
  <si>
    <t>JSW Steel</t>
  </si>
  <si>
    <t>Metal</t>
  </si>
  <si>
    <t>Cheque</t>
  </si>
  <si>
    <t>Neha</t>
  </si>
  <si>
    <t>Chopra</t>
  </si>
  <si>
    <t>Nestle India</t>
  </si>
  <si>
    <t>Consumer</t>
  </si>
  <si>
    <t>Amit</t>
  </si>
  <si>
    <t>Divi's Labs</t>
  </si>
  <si>
    <t>Aarav</t>
  </si>
  <si>
    <t>Malhotra</t>
  </si>
  <si>
    <t>Coal India</t>
  </si>
  <si>
    <t>Maruti Suzuki</t>
  </si>
  <si>
    <t>Auto</t>
  </si>
  <si>
    <t>Sanjay</t>
  </si>
  <si>
    <t>Simran</t>
  </si>
  <si>
    <t>Priya</t>
  </si>
  <si>
    <t>Sun Pharma</t>
  </si>
  <si>
    <t>Divya</t>
  </si>
  <si>
    <t>Pandey</t>
  </si>
  <si>
    <t>Meera</t>
  </si>
  <si>
    <t>Tata Steel</t>
  </si>
  <si>
    <t>Shruti</t>
  </si>
  <si>
    <t>Suresh</t>
  </si>
  <si>
    <t>Saxena</t>
  </si>
  <si>
    <t>Reliance Industries</t>
  </si>
  <si>
    <t>Vivaan</t>
  </si>
  <si>
    <t>Nair</t>
  </si>
  <si>
    <t>Mehta</t>
  </si>
  <si>
    <t>Riya</t>
  </si>
  <si>
    <t>Rahul</t>
  </si>
  <si>
    <t>Sharma</t>
  </si>
  <si>
    <t>Nitin</t>
  </si>
  <si>
    <t>Pooja</t>
  </si>
  <si>
    <t>HDFC Bank</t>
  </si>
  <si>
    <t>Hindustan Unilever</t>
  </si>
  <si>
    <t>Iyer</t>
  </si>
  <si>
    <t>Asian Paints</t>
  </si>
  <si>
    <t>Kumar</t>
  </si>
  <si>
    <t>HCL Technologies</t>
  </si>
  <si>
    <t>Larsen &amp; Toubro</t>
  </si>
  <si>
    <t>Kavya</t>
  </si>
  <si>
    <t>Gupta</t>
  </si>
  <si>
    <t>Harish</t>
  </si>
  <si>
    <t xml:space="preserve">Unidentified </t>
  </si>
  <si>
    <t>Shah</t>
  </si>
  <si>
    <t>Titan Company</t>
  </si>
  <si>
    <t>Tata Motors</t>
  </si>
  <si>
    <t>Aditya</t>
  </si>
  <si>
    <t>Singh</t>
  </si>
  <si>
    <t>UltraTech Cement</t>
  </si>
  <si>
    <t>Sneha</t>
  </si>
  <si>
    <t>Total Purchase Price</t>
  </si>
  <si>
    <t>Total Current Value</t>
  </si>
  <si>
    <t>Profit/ Loss</t>
  </si>
  <si>
    <t>Return (%)</t>
  </si>
  <si>
    <t>Dividend Received</t>
  </si>
  <si>
    <t>Portfolio Weight (%)</t>
  </si>
  <si>
    <t>email</t>
  </si>
  <si>
    <t xml:space="preserve">SBI </t>
  </si>
  <si>
    <t xml:space="preserve">Cipla </t>
  </si>
  <si>
    <t xml:space="preserve">NTPC </t>
  </si>
  <si>
    <t xml:space="preserve">Britannia </t>
  </si>
  <si>
    <t xml:space="preserve">Infosys </t>
  </si>
  <si>
    <t xml:space="preserve">Wipro </t>
  </si>
  <si>
    <t xml:space="preserve">TCS </t>
  </si>
  <si>
    <t>number</t>
  </si>
  <si>
    <t>No. of Users</t>
  </si>
  <si>
    <t>Row Labels</t>
  </si>
  <si>
    <t>Grand Total</t>
  </si>
  <si>
    <t>Total No. of Shares</t>
  </si>
  <si>
    <t>Total of Purchase Price</t>
  </si>
  <si>
    <t>Total of Current Value</t>
  </si>
  <si>
    <t>Total Profit/ Loss</t>
  </si>
  <si>
    <t>INVESTMENT PERFORMANCE BY EXCHANGE &amp; SECTOR</t>
  </si>
  <si>
    <t xml:space="preserve"> Return (%)</t>
  </si>
  <si>
    <t>Total of Portfolio Weight (%)</t>
  </si>
  <si>
    <t xml:space="preserve"> No. of Shares</t>
  </si>
  <si>
    <t>No of Users</t>
  </si>
  <si>
    <t xml:space="preserve"> Total of Portfolio Weight (%)</t>
  </si>
  <si>
    <t>INVESTMENT PERFORMANCE BY STOCK</t>
  </si>
  <si>
    <t>INVESTMENT PERFORMANCE BY PAYMENT MODE</t>
  </si>
  <si>
    <t>Average of Return (%)</t>
  </si>
  <si>
    <t>Sum of Profit/ Loss</t>
  </si>
  <si>
    <t>Average of Dividend %</t>
  </si>
  <si>
    <t>Sum of Total Purchase Price</t>
  </si>
  <si>
    <t>Sum of Portfolio Weight (%)</t>
  </si>
  <si>
    <t>Sum of 52-Week High</t>
  </si>
  <si>
    <t>Sum of 52-Week Low</t>
  </si>
  <si>
    <t>Sum of No. of Shares</t>
  </si>
  <si>
    <t>Sum of Dividend Received</t>
  </si>
  <si>
    <t>Sum of Total Current Value</t>
  </si>
  <si>
    <t>Sum of Return (%)</t>
  </si>
  <si>
    <t>Sum of Dividend %</t>
  </si>
  <si>
    <t>Count of User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</si>
</sst>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6"/>
      <color theme="1"/>
      <name val="Arial Black"/>
      <family val="2"/>
    </font>
    <font>
      <sz val="11"/>
      <color theme="1"/>
      <name val="Arial Black"/>
      <family val="2"/>
    </font>
  </fonts>
  <fills count="4">
    <fill>
      <patternFill patternType="none"/>
    </fill>
    <fill>
      <patternFill patternType="gray125"/>
    </fill>
    <fill>
      <patternFill patternType="solid">
        <fgColor theme="8"/>
        <bgColor theme="8"/>
      </patternFill>
    </fill>
    <fill>
      <patternFill patternType="solid">
        <fgColor theme="8" tint="0.59999389629810485"/>
        <bgColor indexed="64"/>
      </patternFill>
    </fill>
  </fills>
  <borders count="7">
    <border>
      <left/>
      <right/>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style="thin">
        <color theme="8"/>
      </top>
      <bottom style="thin">
        <color theme="8"/>
      </bottom>
      <diagonal/>
    </border>
    <border>
      <left/>
      <right style="thin">
        <color theme="8"/>
      </right>
      <top style="thin">
        <color theme="8"/>
      </top>
      <bottom style="thin">
        <color theme="8"/>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7">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1" xfId="0" applyBorder="1"/>
    <xf numFmtId="0" fontId="0" fillId="0" borderId="4" xfId="0" applyBorder="1"/>
    <xf numFmtId="14" fontId="0" fillId="0" borderId="1" xfId="0" applyNumberFormat="1" applyBorder="1"/>
    <xf numFmtId="0" fontId="0" fillId="0" borderId="3" xfId="0" applyBorder="1"/>
    <xf numFmtId="0" fontId="0" fillId="0" borderId="5"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2" fillId="3" borderId="0" xfId="0" applyFont="1" applyFill="1"/>
    <xf numFmtId="0" fontId="3" fillId="3" borderId="0" xfId="0" applyFont="1" applyFill="1"/>
    <xf numFmtId="0" fontId="0" fillId="0" borderId="0" xfId="0" applyNumberFormat="1"/>
    <xf numFmtId="0" fontId="0" fillId="0" borderId="6" xfId="0" applyBorder="1"/>
  </cellXfs>
  <cellStyles count="1">
    <cellStyle name="Normal" xfId="0" builtinId="0"/>
  </cellStyles>
  <dxfs count="7">
    <dxf>
      <font>
        <b/>
        <i/>
      </font>
      <fill>
        <patternFill>
          <bgColor rgb="FF00B0F0"/>
        </patternFill>
      </fill>
    </dxf>
    <dxf>
      <font>
        <b/>
        <i/>
      </font>
      <fill>
        <patternFill>
          <bgColor theme="7" tint="0.39994506668294322"/>
        </patternFill>
      </fill>
    </dxf>
    <dxf>
      <font>
        <b/>
        <i/>
      </font>
      <fill>
        <patternFill>
          <bgColor rgb="FFFFFF00"/>
        </patternFill>
      </fill>
    </dxf>
    <dxf>
      <font>
        <b/>
        <i/>
      </font>
      <fill>
        <patternFill>
          <bgColor theme="4" tint="0.59996337778862885"/>
        </patternFill>
      </fill>
      <border>
        <left style="thin">
          <color auto="1"/>
        </left>
        <right style="thin">
          <color auto="1"/>
        </right>
        <top style="thin">
          <color auto="1"/>
        </top>
        <bottom style="thin">
          <color auto="1"/>
        </bottom>
        <vertical/>
        <horizontal/>
      </border>
    </dxf>
    <dxf>
      <font>
        <b/>
        <i/>
      </font>
      <fill>
        <patternFill>
          <bgColor theme="6" tint="0.39994506668294322"/>
        </patternFill>
      </fill>
    </dxf>
    <dxf>
      <font>
        <b/>
        <i/>
      </font>
      <fill>
        <patternFill>
          <bgColor theme="5" tint="0.39994506668294322"/>
        </patternFill>
      </fill>
    </dxf>
    <dxf>
      <font>
        <b/>
        <i/>
      </font>
      <fill>
        <patternFill>
          <bgColor rgb="FFFF0000"/>
        </patternFill>
      </fill>
    </dxf>
  </dxfs>
  <tableStyles count="0" defaultTableStyle="TableStyleMedium2" defaultPivotStyle="PivotStyleLight16"/>
  <colors>
    <mruColors>
      <color rgb="FF66B1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SECTOR-WISE 52 WEEK PRICE RANGE ANALYSIS</a:t>
            </a:r>
          </a:p>
        </c:rich>
      </c:tx>
      <c:layout>
        <c:manualLayout>
          <c:xMode val="edge"/>
          <c:yMode val="edge"/>
          <c:x val="0.15409954611973148"/>
          <c:y val="5.2239133161436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lumMod val="50000"/>
              </a:schemeClr>
            </a:solidFill>
            <a:round/>
          </a:ln>
          <a:effectLst/>
        </c:spPr>
        <c:marker>
          <c:symbol val="circle"/>
          <c:size val="5"/>
          <c:spPr>
            <a:solidFill>
              <a:schemeClr val="accent5">
                <a:lumMod val="40000"/>
                <a:lumOff val="6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5">
                <a:lumMod val="60000"/>
                <a:lumOff val="40000"/>
              </a:schemeClr>
            </a:solidFill>
            <a:round/>
          </a:ln>
          <a:effectLst/>
        </c:spPr>
        <c:marker>
          <c:symbol val="circle"/>
          <c:size val="5"/>
          <c:spPr>
            <a:solidFill>
              <a:schemeClr val="accent5">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96961599444145"/>
          <c:y val="0.1794802920096922"/>
          <c:w val="0.86562112809850078"/>
          <c:h val="0.60976419895463463"/>
        </c:manualLayout>
      </c:layout>
      <c:lineChart>
        <c:grouping val="standard"/>
        <c:varyColors val="0"/>
        <c:ser>
          <c:idx val="0"/>
          <c:order val="0"/>
          <c:tx>
            <c:strRef>
              <c:f>EXTRAS!$B$3</c:f>
              <c:strCache>
                <c:ptCount val="1"/>
                <c:pt idx="0">
                  <c:v>Sum of 52-Week High</c:v>
                </c:pt>
              </c:strCache>
            </c:strRef>
          </c:tx>
          <c:spPr>
            <a:ln w="22225" cap="rnd">
              <a:solidFill>
                <a:schemeClr val="accent5">
                  <a:lumMod val="50000"/>
                </a:schemeClr>
              </a:solidFill>
              <a:round/>
            </a:ln>
            <a:effectLst/>
          </c:spPr>
          <c:marker>
            <c:symbol val="circle"/>
            <c:size val="5"/>
            <c:spPr>
              <a:solidFill>
                <a:schemeClr val="accent5">
                  <a:lumMod val="40000"/>
                  <a:lumOff val="60000"/>
                </a:schemeClr>
              </a:solidFill>
              <a:ln w="9525">
                <a:noFill/>
              </a:ln>
              <a:effectLst/>
            </c:spPr>
          </c:marker>
          <c:cat>
            <c:strRef>
              <c:f>EXTRAS!$A$4:$A$12</c:f>
              <c:strCache>
                <c:ptCount val="8"/>
                <c:pt idx="0">
                  <c:v>Auto</c:v>
                </c:pt>
                <c:pt idx="1">
                  <c:v>Consumer</c:v>
                </c:pt>
                <c:pt idx="2">
                  <c:v>Energy</c:v>
                </c:pt>
                <c:pt idx="3">
                  <c:v>Finance</c:v>
                </c:pt>
                <c:pt idx="4">
                  <c:v>Infrastructure</c:v>
                </c:pt>
                <c:pt idx="5">
                  <c:v>IT</c:v>
                </c:pt>
                <c:pt idx="6">
                  <c:v>Metal</c:v>
                </c:pt>
                <c:pt idx="7">
                  <c:v>Pharma</c:v>
                </c:pt>
              </c:strCache>
            </c:strRef>
          </c:cat>
          <c:val>
            <c:numRef>
              <c:f>EXTRAS!$B$4:$B$12</c:f>
              <c:numCache>
                <c:formatCode>General</c:formatCode>
                <c:ptCount val="8"/>
                <c:pt idx="0">
                  <c:v>11169.560000000001</c:v>
                </c:pt>
                <c:pt idx="1">
                  <c:v>37550.33</c:v>
                </c:pt>
                <c:pt idx="2">
                  <c:v>47086.539999999994</c:v>
                </c:pt>
                <c:pt idx="3">
                  <c:v>60863.05999999999</c:v>
                </c:pt>
                <c:pt idx="4">
                  <c:v>20002.75</c:v>
                </c:pt>
                <c:pt idx="5">
                  <c:v>41600.87000000001</c:v>
                </c:pt>
                <c:pt idx="6">
                  <c:v>23982.230000000003</c:v>
                </c:pt>
                <c:pt idx="7">
                  <c:v>63362.070000000007</c:v>
                </c:pt>
              </c:numCache>
            </c:numRef>
          </c:val>
          <c:smooth val="0"/>
          <c:extLst>
            <c:ext xmlns:c16="http://schemas.microsoft.com/office/drawing/2014/chart" uri="{C3380CC4-5D6E-409C-BE32-E72D297353CC}">
              <c16:uniqueId val="{00000000-BDE6-4A6E-861A-86CEB4B46E45}"/>
            </c:ext>
          </c:extLst>
        </c:ser>
        <c:ser>
          <c:idx val="1"/>
          <c:order val="1"/>
          <c:tx>
            <c:strRef>
              <c:f>EXTRAS!$C$3</c:f>
              <c:strCache>
                <c:ptCount val="1"/>
                <c:pt idx="0">
                  <c:v>Sum of 52-Week Low</c:v>
                </c:pt>
              </c:strCache>
            </c:strRef>
          </c:tx>
          <c:spPr>
            <a:ln w="22225" cap="rnd">
              <a:solidFill>
                <a:schemeClr val="accent5">
                  <a:lumMod val="60000"/>
                  <a:lumOff val="40000"/>
                </a:schemeClr>
              </a:solidFill>
              <a:round/>
            </a:ln>
            <a:effectLst/>
          </c:spPr>
          <c:marker>
            <c:symbol val="circle"/>
            <c:size val="5"/>
            <c:spPr>
              <a:solidFill>
                <a:schemeClr val="accent5">
                  <a:lumMod val="75000"/>
                </a:schemeClr>
              </a:solidFill>
              <a:ln w="9525">
                <a:noFill/>
              </a:ln>
              <a:effectLst/>
            </c:spPr>
          </c:marker>
          <c:cat>
            <c:strRef>
              <c:f>EXTRAS!$A$4:$A$12</c:f>
              <c:strCache>
                <c:ptCount val="8"/>
                <c:pt idx="0">
                  <c:v>Auto</c:v>
                </c:pt>
                <c:pt idx="1">
                  <c:v>Consumer</c:v>
                </c:pt>
                <c:pt idx="2">
                  <c:v>Energy</c:v>
                </c:pt>
                <c:pt idx="3">
                  <c:v>Finance</c:v>
                </c:pt>
                <c:pt idx="4">
                  <c:v>Infrastructure</c:v>
                </c:pt>
                <c:pt idx="5">
                  <c:v>IT</c:v>
                </c:pt>
                <c:pt idx="6">
                  <c:v>Metal</c:v>
                </c:pt>
                <c:pt idx="7">
                  <c:v>Pharma</c:v>
                </c:pt>
              </c:strCache>
            </c:strRef>
          </c:cat>
          <c:val>
            <c:numRef>
              <c:f>EXTRAS!$C$4:$C$12</c:f>
              <c:numCache>
                <c:formatCode>General</c:formatCode>
                <c:ptCount val="8"/>
                <c:pt idx="0">
                  <c:v>6791.43</c:v>
                </c:pt>
                <c:pt idx="1">
                  <c:v>23446.93</c:v>
                </c:pt>
                <c:pt idx="2">
                  <c:v>30315.32</c:v>
                </c:pt>
                <c:pt idx="3">
                  <c:v>35601.82</c:v>
                </c:pt>
                <c:pt idx="4">
                  <c:v>13667.809999999998</c:v>
                </c:pt>
                <c:pt idx="5">
                  <c:v>24926.899999999998</c:v>
                </c:pt>
                <c:pt idx="6">
                  <c:v>13017.630000000001</c:v>
                </c:pt>
                <c:pt idx="7">
                  <c:v>37382.160000000003</c:v>
                </c:pt>
              </c:numCache>
            </c:numRef>
          </c:val>
          <c:smooth val="0"/>
          <c:extLst>
            <c:ext xmlns:c16="http://schemas.microsoft.com/office/drawing/2014/chart" uri="{C3380CC4-5D6E-409C-BE32-E72D297353CC}">
              <c16:uniqueId val="{00000001-BDE6-4A6E-861A-86CEB4B46E45}"/>
            </c:ext>
          </c:extLst>
        </c:ser>
        <c:dLbls>
          <c:showLegendKey val="0"/>
          <c:showVal val="0"/>
          <c:showCatName val="0"/>
          <c:showSerName val="0"/>
          <c:showPercent val="0"/>
          <c:showBubbleSize val="0"/>
        </c:dLbls>
        <c:marker val="1"/>
        <c:smooth val="0"/>
        <c:axId val="319840207"/>
        <c:axId val="319841167"/>
      </c:lineChart>
      <c:catAx>
        <c:axId val="31984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841167"/>
        <c:crosses val="autoZero"/>
        <c:auto val="1"/>
        <c:lblAlgn val="ctr"/>
        <c:lblOffset val="100"/>
        <c:noMultiLvlLbl val="0"/>
      </c:catAx>
      <c:valAx>
        <c:axId val="3198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84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[stock.xlsx]EXTRAS!PivotTable13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baseline="0">
                <a:solidFill>
                  <a:schemeClr val="tx1"/>
                </a:solidFill>
              </a:rPr>
              <a:t>EXCHANGE-WISE PROFIT/LOSS ANALYSIS</a:t>
            </a:r>
            <a:endParaRPr lang="en-IN">
              <a:solidFill>
                <a:schemeClr val="tx1"/>
              </a:solidFill>
            </a:endParaRPr>
          </a:p>
        </c:rich>
      </c:tx>
      <c:layout>
        <c:manualLayout>
          <c:xMode val="edge"/>
          <c:yMode val="edge"/>
          <c:x val="0.1551859375731966"/>
          <c:y val="4.9748142237294893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357631359039735"/>
          <c:w val="1"/>
          <c:h val="0.61472195146514552"/>
        </c:manualLayout>
      </c:layout>
      <c:pie3DChart>
        <c:varyColors val="1"/>
        <c:ser>
          <c:idx val="0"/>
          <c:order val="0"/>
          <c:tx>
            <c:strRef>
              <c:f>EXTRAS!$F$3</c:f>
              <c:strCache>
                <c:ptCount val="1"/>
                <c:pt idx="0">
                  <c:v>Total</c:v>
                </c:pt>
              </c:strCache>
            </c:strRef>
          </c:tx>
          <c:dPt>
            <c:idx val="0"/>
            <c:bubble3D val="0"/>
            <c:explosion val="7"/>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C14-4B68-B4AE-87383D56045E}"/>
              </c:ext>
            </c:extLst>
          </c:dPt>
          <c:dPt>
            <c:idx val="1"/>
            <c:bubble3D val="0"/>
            <c:spPr>
              <a:solidFill>
                <a:schemeClr val="accent5">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C14-4B68-B4AE-87383D56045E}"/>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14-4B68-B4AE-87383D56045E}"/>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14-4B68-B4AE-87383D5604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EXTRAS!$E$4:$E$6</c:f>
              <c:strCache>
                <c:ptCount val="2"/>
                <c:pt idx="0">
                  <c:v>BSE</c:v>
                </c:pt>
                <c:pt idx="1">
                  <c:v>NSE</c:v>
                </c:pt>
              </c:strCache>
            </c:strRef>
          </c:cat>
          <c:val>
            <c:numRef>
              <c:f>EXTRAS!$F$4:$F$6</c:f>
              <c:numCache>
                <c:formatCode>General</c:formatCode>
                <c:ptCount val="2"/>
                <c:pt idx="0">
                  <c:v>1808685.8300000005</c:v>
                </c:pt>
                <c:pt idx="1">
                  <c:v>1317405.8199999998</c:v>
                </c:pt>
              </c:numCache>
            </c:numRef>
          </c:val>
          <c:extLst>
            <c:ext xmlns:c16="http://schemas.microsoft.com/office/drawing/2014/chart" uri="{C3380CC4-5D6E-409C-BE32-E72D297353CC}">
              <c16:uniqueId val="{00000004-1C14-4B68-B4AE-87383D56045E}"/>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40917988244271292"/>
          <c:y val="0.82813215982620392"/>
          <c:w val="0.21499581163545786"/>
          <c:h val="5.5203696834817018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[stock.xlsx]EXTRAS!PivotTable14</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2000">
                <a:solidFill>
                  <a:schemeClr val="tx1"/>
                </a:solidFill>
              </a:rPr>
              <a:t>PORTFOLIO</a:t>
            </a:r>
            <a:r>
              <a:rPr lang="en-IN" sz="2000" baseline="0">
                <a:solidFill>
                  <a:schemeClr val="tx1"/>
                </a:solidFill>
              </a:rPr>
              <a:t> ALLOCATION (%)</a:t>
            </a:r>
          </a:p>
          <a:p>
            <a:pPr>
              <a:defRPr/>
            </a:pPr>
            <a:r>
              <a:rPr lang="en-IN" sz="2000" baseline="0">
                <a:solidFill>
                  <a:schemeClr val="tx1"/>
                </a:solidFill>
              </a:rPr>
              <a:t> BY EXCHANGE</a:t>
            </a:r>
            <a:endParaRPr lang="en-IN" sz="2000">
              <a:solidFill>
                <a:schemeClr val="tx1"/>
              </a:solidFill>
            </a:endParaRPr>
          </a:p>
        </c:rich>
      </c:tx>
      <c:layout>
        <c:manualLayout>
          <c:xMode val="edge"/>
          <c:yMode val="edge"/>
          <c:x val="0.15323425009232738"/>
          <c:y val="1.92592482057256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5">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472818948242095E-2"/>
          <c:y val="0.21421485187845657"/>
          <c:w val="0.87181781942099312"/>
          <c:h val="0.73801366845174443"/>
        </c:manualLayout>
      </c:layout>
      <c:pie3DChart>
        <c:varyColors val="1"/>
        <c:ser>
          <c:idx val="0"/>
          <c:order val="0"/>
          <c:tx>
            <c:strRef>
              <c:f>EXTRAS!$F$9</c:f>
              <c:strCache>
                <c:ptCount val="1"/>
                <c:pt idx="0">
                  <c:v>Total</c:v>
                </c:pt>
              </c:strCache>
            </c:strRef>
          </c:tx>
          <c:spPr>
            <a:solidFill>
              <a:schemeClr val="accent5">
                <a:lumMod val="50000"/>
              </a:schemeClr>
            </a:solidFill>
          </c:spPr>
          <c:explosion val="5"/>
          <c:dPt>
            <c:idx val="0"/>
            <c:bubble3D val="0"/>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6D9-489B-B09C-AB1EC758382D}"/>
              </c:ext>
            </c:extLst>
          </c:dPt>
          <c:dPt>
            <c:idx val="1"/>
            <c:bubble3D val="0"/>
            <c:spPr>
              <a:solidFill>
                <a:schemeClr val="accent5">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6D9-489B-B09C-AB1EC75838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EXTRAS!$E$10:$E$12</c:f>
              <c:strCache>
                <c:ptCount val="2"/>
                <c:pt idx="0">
                  <c:v>BSE</c:v>
                </c:pt>
                <c:pt idx="1">
                  <c:v>NSE</c:v>
                </c:pt>
              </c:strCache>
            </c:strRef>
          </c:cat>
          <c:val>
            <c:numRef>
              <c:f>EXTRAS!$F$10:$F$12</c:f>
              <c:numCache>
                <c:formatCode>General</c:formatCode>
                <c:ptCount val="2"/>
                <c:pt idx="0">
                  <c:v>29.28316286669348</c:v>
                </c:pt>
                <c:pt idx="1">
                  <c:v>70.716837133306484</c:v>
                </c:pt>
              </c:numCache>
            </c:numRef>
          </c:val>
          <c:extLst>
            <c:ext xmlns:c16="http://schemas.microsoft.com/office/drawing/2014/chart" uri="{C3380CC4-5D6E-409C-BE32-E72D297353CC}">
              <c16:uniqueId val="{00000004-46D9-489B-B09C-AB1EC758382D}"/>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41794072427233397"/>
          <c:y val="0.91378034731146696"/>
          <c:w val="0.23861730481804316"/>
          <c:h val="5.5012186341286871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AVERAGE</a:t>
            </a:r>
            <a:r>
              <a:rPr lang="en-IN" sz="2000" b="1" baseline="0">
                <a:solidFill>
                  <a:schemeClr val="tx1"/>
                </a:solidFill>
              </a:rPr>
              <a:t> RETURN vs DIVIDEND YIELD BY STOCK STATUS</a:t>
            </a:r>
            <a:endParaRPr lang="en-IN" sz="2000" b="1">
              <a:solidFill>
                <a:schemeClr val="tx1"/>
              </a:solidFill>
            </a:endParaRPr>
          </a:p>
        </c:rich>
      </c:tx>
      <c:layout>
        <c:manualLayout>
          <c:xMode val="edge"/>
          <c:yMode val="edge"/>
          <c:x val="0.14475078884430942"/>
          <c:y val="3.3094853940642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04011669928831E-2"/>
          <c:y val="0.17366559684694843"/>
          <c:w val="0.90248680626265076"/>
          <c:h val="0.66625974629416806"/>
        </c:manualLayout>
      </c:layout>
      <c:barChart>
        <c:barDir val="col"/>
        <c:grouping val="clustered"/>
        <c:varyColors val="0"/>
        <c:ser>
          <c:idx val="0"/>
          <c:order val="0"/>
          <c:tx>
            <c:strRef>
              <c:f>EXTRAS!$B$14</c:f>
              <c:strCache>
                <c:ptCount val="1"/>
                <c:pt idx="0">
                  <c:v>Average of Return (%)</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EXTRAS!$A$15:$A$18</c:f>
              <c:strCache>
                <c:ptCount val="3"/>
                <c:pt idx="0">
                  <c:v>Hold</c:v>
                </c:pt>
                <c:pt idx="1">
                  <c:v>Sold</c:v>
                </c:pt>
                <c:pt idx="2">
                  <c:v>Watch</c:v>
                </c:pt>
              </c:strCache>
            </c:strRef>
          </c:cat>
          <c:val>
            <c:numRef>
              <c:f>EXTRAS!$B$15:$B$18</c:f>
              <c:numCache>
                <c:formatCode>General</c:formatCode>
                <c:ptCount val="3"/>
                <c:pt idx="0">
                  <c:v>9.1261833531902852</c:v>
                </c:pt>
                <c:pt idx="1">
                  <c:v>13.652323219672821</c:v>
                </c:pt>
                <c:pt idx="2">
                  <c:v>7.5568454821973532</c:v>
                </c:pt>
              </c:numCache>
            </c:numRef>
          </c:val>
          <c:extLst>
            <c:ext xmlns:c16="http://schemas.microsoft.com/office/drawing/2014/chart" uri="{C3380CC4-5D6E-409C-BE32-E72D297353CC}">
              <c16:uniqueId val="{00000000-71C7-4B84-83BE-A6AD866829DC}"/>
            </c:ext>
          </c:extLst>
        </c:ser>
        <c:ser>
          <c:idx val="1"/>
          <c:order val="1"/>
          <c:tx>
            <c:strRef>
              <c:f>EXTRAS!$C$14</c:f>
              <c:strCache>
                <c:ptCount val="1"/>
                <c:pt idx="0">
                  <c:v>Average of Dividend %</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EXTRAS!$A$15:$A$18</c:f>
              <c:strCache>
                <c:ptCount val="3"/>
                <c:pt idx="0">
                  <c:v>Hold</c:v>
                </c:pt>
                <c:pt idx="1">
                  <c:v>Sold</c:v>
                </c:pt>
                <c:pt idx="2">
                  <c:v>Watch</c:v>
                </c:pt>
              </c:strCache>
            </c:strRef>
          </c:cat>
          <c:val>
            <c:numRef>
              <c:f>EXTRAS!$C$15:$C$18</c:f>
              <c:numCache>
                <c:formatCode>General</c:formatCode>
                <c:ptCount val="3"/>
                <c:pt idx="0">
                  <c:v>2.7033962264150948</c:v>
                </c:pt>
                <c:pt idx="1">
                  <c:v>2.8650000000000002</c:v>
                </c:pt>
                <c:pt idx="2">
                  <c:v>1.9742857142857138</c:v>
                </c:pt>
              </c:numCache>
            </c:numRef>
          </c:val>
          <c:extLst>
            <c:ext xmlns:c16="http://schemas.microsoft.com/office/drawing/2014/chart" uri="{C3380CC4-5D6E-409C-BE32-E72D297353CC}">
              <c16:uniqueId val="{00000001-71C7-4B84-83BE-A6AD866829DC}"/>
            </c:ext>
          </c:extLst>
        </c:ser>
        <c:dLbls>
          <c:dLblPos val="outEnd"/>
          <c:showLegendKey val="0"/>
          <c:showVal val="1"/>
          <c:showCatName val="0"/>
          <c:showSerName val="0"/>
          <c:showPercent val="0"/>
          <c:showBubbleSize val="0"/>
        </c:dLbls>
        <c:gapWidth val="219"/>
        <c:overlap val="-27"/>
        <c:axId val="413635231"/>
        <c:axId val="413636191"/>
      </c:barChart>
      <c:catAx>
        <c:axId val="4136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36191"/>
        <c:crosses val="autoZero"/>
        <c:auto val="1"/>
        <c:lblAlgn val="ctr"/>
        <c:lblOffset val="100"/>
        <c:noMultiLvlLbl val="0"/>
      </c:catAx>
      <c:valAx>
        <c:axId val="41363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35231"/>
        <c:crosses val="autoZero"/>
        <c:crossBetween val="between"/>
      </c:valAx>
      <c:spPr>
        <a:noFill/>
        <a:ln>
          <a:noFill/>
        </a:ln>
        <a:effectLst/>
      </c:spPr>
    </c:plotArea>
    <c:legend>
      <c:legendPos val="b"/>
      <c:layout>
        <c:manualLayout>
          <c:xMode val="edge"/>
          <c:yMode val="edge"/>
          <c:x val="0.26595025183917964"/>
          <c:y val="0.91121638922915849"/>
          <c:w val="0.46809949632164077"/>
          <c:h val="7.35090627982370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[stock.xlsx]EXTRAS!PivotTable16</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2000" b="1">
                <a:solidFill>
                  <a:schemeClr val="tx1"/>
                </a:solidFill>
              </a:rPr>
              <a:t>INVESTMENT</a:t>
            </a:r>
            <a:r>
              <a:rPr lang="en-US" sz="2000" b="1" baseline="0">
                <a:solidFill>
                  <a:schemeClr val="tx1"/>
                </a:solidFill>
              </a:rPr>
              <a:t> VALUE BY PAYMENT MODES</a:t>
            </a:r>
            <a:endParaRPr lang="en-US" sz="2000" b="1">
              <a:solidFill>
                <a:schemeClr val="tx1"/>
              </a:solidFill>
            </a:endParaRPr>
          </a:p>
        </c:rich>
      </c:tx>
      <c:layout>
        <c:manualLayout>
          <c:xMode val="edge"/>
          <c:yMode val="edge"/>
          <c:x val="0.1590337173987923"/>
          <c:y val="4.753190199128058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EXTRAS!$F$14</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EXTRAS!$E$15:$E$20</c:f>
              <c:strCache>
                <c:ptCount val="5"/>
                <c:pt idx="0">
                  <c:v>Cheque</c:v>
                </c:pt>
                <c:pt idx="1">
                  <c:v>Demat Transfer</c:v>
                </c:pt>
                <c:pt idx="2">
                  <c:v>Net Banking</c:v>
                </c:pt>
                <c:pt idx="3">
                  <c:v>Unidentified </c:v>
                </c:pt>
                <c:pt idx="4">
                  <c:v>UPI</c:v>
                </c:pt>
              </c:strCache>
            </c:strRef>
          </c:cat>
          <c:val>
            <c:numRef>
              <c:f>EXTRAS!$F$15:$F$20</c:f>
              <c:numCache>
                <c:formatCode>General</c:formatCode>
                <c:ptCount val="5"/>
                <c:pt idx="0">
                  <c:v>5279499.919999999</c:v>
                </c:pt>
                <c:pt idx="1">
                  <c:v>8270114.0199999996</c:v>
                </c:pt>
                <c:pt idx="2">
                  <c:v>4469923.2600000007</c:v>
                </c:pt>
                <c:pt idx="3">
                  <c:v>574288.75</c:v>
                </c:pt>
                <c:pt idx="4">
                  <c:v>7986631.8899999987</c:v>
                </c:pt>
              </c:numCache>
            </c:numRef>
          </c:val>
          <c:extLst>
            <c:ext xmlns:c16="http://schemas.microsoft.com/office/drawing/2014/chart" uri="{C3380CC4-5D6E-409C-BE32-E72D297353CC}">
              <c16:uniqueId val="{00000000-4357-439E-802D-B236C1D7285D}"/>
            </c:ext>
          </c:extLst>
        </c:ser>
        <c:dLbls>
          <c:dLblPos val="outEnd"/>
          <c:showLegendKey val="0"/>
          <c:showVal val="1"/>
          <c:showCatName val="0"/>
          <c:showSerName val="0"/>
          <c:showPercent val="0"/>
          <c:showBubbleSize val="0"/>
        </c:dLbls>
        <c:gapWidth val="182"/>
        <c:axId val="257886175"/>
        <c:axId val="257885215"/>
      </c:barChart>
      <c:catAx>
        <c:axId val="257886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57885215"/>
        <c:crosses val="autoZero"/>
        <c:auto val="1"/>
        <c:lblAlgn val="ctr"/>
        <c:lblOffset val="100"/>
        <c:noMultiLvlLbl val="0"/>
      </c:catAx>
      <c:valAx>
        <c:axId val="2578852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578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[stock.xlsx]EXTRAS!PivotTable1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STOCK-WISE</a:t>
            </a:r>
            <a:r>
              <a:rPr lang="en-US" sz="2800" b="1" baseline="0">
                <a:solidFill>
                  <a:schemeClr val="tx1"/>
                </a:solidFill>
              </a:rPr>
              <a:t> DIVIDEND INCOME</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pivotFmt>
    </c:pivotFmts>
    <c:plotArea>
      <c:layout/>
      <c:barChart>
        <c:barDir val="col"/>
        <c:grouping val="clustered"/>
        <c:varyColors val="0"/>
        <c:ser>
          <c:idx val="0"/>
          <c:order val="0"/>
          <c:tx>
            <c:strRef>
              <c:f>EXTRAS!$I$5</c:f>
              <c:strCache>
                <c:ptCount val="1"/>
                <c:pt idx="0">
                  <c:v>Total</c:v>
                </c:pt>
              </c:strCache>
            </c:strRef>
          </c:tx>
          <c:spPr>
            <a:solidFill>
              <a:schemeClr val="accent5"/>
            </a:solidFill>
            <a:ln>
              <a:noFill/>
            </a:ln>
            <a:effectLst/>
          </c:spPr>
          <c:invertIfNegative val="0"/>
          <c:dPt>
            <c:idx val="19"/>
            <c:invertIfNegative val="0"/>
            <c:bubble3D val="0"/>
            <c:extLst>
              <c:ext xmlns:c16="http://schemas.microsoft.com/office/drawing/2014/chart" uri="{C3380CC4-5D6E-409C-BE32-E72D297353CC}">
                <c16:uniqueId val="{00000001-B257-4D23-BC83-7E58D5BCBE33}"/>
              </c:ext>
            </c:extLst>
          </c:dPt>
          <c:cat>
            <c:strRef>
              <c:f>EXTRAS!$H$6:$H$36</c:f>
              <c:strCache>
                <c:ptCount val="30"/>
                <c:pt idx="0">
                  <c:v>Adani Ports</c:v>
                </c:pt>
                <c:pt idx="1">
                  <c:v>Asian Paints</c:v>
                </c:pt>
                <c:pt idx="2">
                  <c:v>Axis Bank</c:v>
                </c:pt>
                <c:pt idx="3">
                  <c:v>Bajaj Finance</c:v>
                </c:pt>
                <c:pt idx="4">
                  <c:v>Britannia </c:v>
                </c:pt>
                <c:pt idx="5">
                  <c:v>Cipla </c:v>
                </c:pt>
                <c:pt idx="6">
                  <c:v>Coal India</c:v>
                </c:pt>
                <c:pt idx="7">
                  <c:v>Divi's Labs</c:v>
                </c:pt>
                <c:pt idx="8">
                  <c:v>Dr Reddy's</c:v>
                </c:pt>
                <c:pt idx="9">
                  <c:v>HCL Technologies</c:v>
                </c:pt>
                <c:pt idx="10">
                  <c:v>HDFC Bank</c:v>
                </c:pt>
                <c:pt idx="11">
                  <c:v>Hindustan Unilever</c:v>
                </c:pt>
                <c:pt idx="12">
                  <c:v>ICICI Bank</c:v>
                </c:pt>
                <c:pt idx="13">
                  <c:v>Infosys </c:v>
                </c:pt>
                <c:pt idx="14">
                  <c:v>JSW Steel</c:v>
                </c:pt>
                <c:pt idx="15">
                  <c:v>Larsen &amp; Toubro</c:v>
                </c:pt>
                <c:pt idx="16">
                  <c:v>Maruti Suzuki</c:v>
                </c:pt>
                <c:pt idx="17">
                  <c:v>Nestle India</c:v>
                </c:pt>
                <c:pt idx="18">
                  <c:v>NTPC </c:v>
                </c:pt>
                <c:pt idx="19">
                  <c:v>Power Grid</c:v>
                </c:pt>
                <c:pt idx="20">
                  <c:v>Reliance Industries</c:v>
                </c:pt>
                <c:pt idx="21">
                  <c:v>SBI </c:v>
                </c:pt>
                <c:pt idx="22">
                  <c:v>Sun Pharma</c:v>
                </c:pt>
                <c:pt idx="23">
                  <c:v>Tata Motors</c:v>
                </c:pt>
                <c:pt idx="24">
                  <c:v>Tata Steel</c:v>
                </c:pt>
                <c:pt idx="25">
                  <c:v>TCS </c:v>
                </c:pt>
                <c:pt idx="26">
                  <c:v>Tech Mahindra</c:v>
                </c:pt>
                <c:pt idx="27">
                  <c:v>Titan Company</c:v>
                </c:pt>
                <c:pt idx="28">
                  <c:v>UltraTech Cement</c:v>
                </c:pt>
                <c:pt idx="29">
                  <c:v>Wipro </c:v>
                </c:pt>
              </c:strCache>
            </c:strRef>
          </c:cat>
          <c:val>
            <c:numRef>
              <c:f>EXTRAS!$I$6:$I$36</c:f>
              <c:numCache>
                <c:formatCode>General</c:formatCode>
                <c:ptCount val="30"/>
                <c:pt idx="0">
                  <c:v>17656.903634999999</c:v>
                </c:pt>
                <c:pt idx="1">
                  <c:v>10309.191812000001</c:v>
                </c:pt>
                <c:pt idx="2">
                  <c:v>32158.578399999995</c:v>
                </c:pt>
                <c:pt idx="3">
                  <c:v>86764.261828000002</c:v>
                </c:pt>
                <c:pt idx="4">
                  <c:v>18401.773752000001</c:v>
                </c:pt>
                <c:pt idx="5">
                  <c:v>61475.908695999999</c:v>
                </c:pt>
                <c:pt idx="6">
                  <c:v>30191.184292000005</c:v>
                </c:pt>
                <c:pt idx="7">
                  <c:v>22552.097889000001</c:v>
                </c:pt>
                <c:pt idx="8">
                  <c:v>18730.750752</c:v>
                </c:pt>
                <c:pt idx="9">
                  <c:v>16831.297173999999</c:v>
                </c:pt>
                <c:pt idx="10">
                  <c:v>8965.562711999999</c:v>
                </c:pt>
                <c:pt idx="11">
                  <c:v>3404.0813699999999</c:v>
                </c:pt>
                <c:pt idx="12">
                  <c:v>7286.3811900000019</c:v>
                </c:pt>
                <c:pt idx="13">
                  <c:v>27534.083241999997</c:v>
                </c:pt>
                <c:pt idx="14">
                  <c:v>7911.9110599999995</c:v>
                </c:pt>
                <c:pt idx="15">
                  <c:v>17275.727821</c:v>
                </c:pt>
                <c:pt idx="16">
                  <c:v>12073.607506</c:v>
                </c:pt>
                <c:pt idx="17">
                  <c:v>28518.272893999998</c:v>
                </c:pt>
                <c:pt idx="18">
                  <c:v>50950.544971000003</c:v>
                </c:pt>
                <c:pt idx="19">
                  <c:v>57417.837425000005</c:v>
                </c:pt>
                <c:pt idx="20">
                  <c:v>41139.654151999988</c:v>
                </c:pt>
                <c:pt idx="21">
                  <c:v>54519.961189000009</c:v>
                </c:pt>
                <c:pt idx="22">
                  <c:v>22833.847537000001</c:v>
                </c:pt>
                <c:pt idx="23">
                  <c:v>26488.687680000003</c:v>
                </c:pt>
                <c:pt idx="24">
                  <c:v>31755.587159999995</c:v>
                </c:pt>
                <c:pt idx="25">
                  <c:v>944.88829499999997</c:v>
                </c:pt>
                <c:pt idx="26">
                  <c:v>14097.386227000001</c:v>
                </c:pt>
                <c:pt idx="27">
                  <c:v>50474.850169999991</c:v>
                </c:pt>
                <c:pt idx="28">
                  <c:v>4865.2522799999997</c:v>
                </c:pt>
                <c:pt idx="29">
                  <c:v>37409.16289</c:v>
                </c:pt>
              </c:numCache>
            </c:numRef>
          </c:val>
          <c:extLst>
            <c:ext xmlns:c16="http://schemas.microsoft.com/office/drawing/2014/chart" uri="{C3380CC4-5D6E-409C-BE32-E72D297353CC}">
              <c16:uniqueId val="{00000000-B257-4D23-BC83-7E58D5BCBE33}"/>
            </c:ext>
          </c:extLst>
        </c:ser>
        <c:dLbls>
          <c:dLblPos val="outEnd"/>
          <c:showLegendKey val="0"/>
          <c:showVal val="0"/>
          <c:showCatName val="0"/>
          <c:showSerName val="0"/>
          <c:showPercent val="0"/>
          <c:showBubbleSize val="0"/>
        </c:dLbls>
        <c:gapWidth val="219"/>
        <c:overlap val="-27"/>
        <c:axId val="1393231376"/>
        <c:axId val="1393229936"/>
      </c:barChart>
      <c:catAx>
        <c:axId val="139323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29936"/>
        <c:crosses val="autoZero"/>
        <c:auto val="1"/>
        <c:lblAlgn val="ctr"/>
        <c:lblOffset val="100"/>
        <c:noMultiLvlLbl val="0"/>
      </c:catAx>
      <c:valAx>
        <c:axId val="139322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31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[stock.xlsx]EXTRAS!PivotTable3</c:name>
    <c:fmtId val="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SHARE DISTRIBUTION BY EXCHANGE</a:t>
            </a:r>
          </a:p>
        </c:rich>
      </c:tx>
      <c:layout>
        <c:manualLayout>
          <c:xMode val="edge"/>
          <c:yMode val="edge"/>
          <c:x val="0.22094532026155123"/>
          <c:y val="3.48288931093813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622844056662712E-2"/>
          <c:y val="0.28496328789469516"/>
          <c:w val="0.93837715781953945"/>
          <c:h val="0.64460425390296539"/>
        </c:manualLayout>
      </c:layout>
      <c:pie3DChart>
        <c:varyColors val="1"/>
        <c:ser>
          <c:idx val="0"/>
          <c:order val="0"/>
          <c:tx>
            <c:strRef>
              <c:f>EXTRAS!$B$21</c:f>
              <c:strCache>
                <c:ptCount val="1"/>
                <c:pt idx="0">
                  <c:v>Total</c:v>
                </c:pt>
              </c:strCache>
            </c:strRef>
          </c:tx>
          <c:explosion val="9"/>
          <c:dPt>
            <c:idx val="0"/>
            <c:bubble3D val="0"/>
            <c:explosion val="2"/>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288-4F51-ACF0-9F4B75BC12DB}"/>
              </c:ext>
            </c:extLst>
          </c:dPt>
          <c:dPt>
            <c:idx val="1"/>
            <c:bubble3D val="0"/>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288-4F51-ACF0-9F4B75BC12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EXTRAS!$A$22:$A$24</c:f>
              <c:strCache>
                <c:ptCount val="2"/>
                <c:pt idx="0">
                  <c:v>BSE</c:v>
                </c:pt>
                <c:pt idx="1">
                  <c:v>NSE</c:v>
                </c:pt>
              </c:strCache>
            </c:strRef>
          </c:cat>
          <c:val>
            <c:numRef>
              <c:f>EXTRAS!$B$22:$B$24</c:f>
              <c:numCache>
                <c:formatCode>General</c:formatCode>
                <c:ptCount val="2"/>
                <c:pt idx="0">
                  <c:v>3109</c:v>
                </c:pt>
                <c:pt idx="1">
                  <c:v>6334</c:v>
                </c:pt>
              </c:numCache>
            </c:numRef>
          </c:val>
          <c:extLst>
            <c:ext xmlns:c16="http://schemas.microsoft.com/office/drawing/2014/chart" uri="{C3380CC4-5D6E-409C-BE32-E72D297353CC}">
              <c16:uniqueId val="{00000004-3288-4F51-ACF0-9F4B75BC12DB}"/>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[stock.xlsx]EXTRAS!PivotTable4</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tx1"/>
                </a:solidFill>
              </a:rPr>
              <a:t>USERS BY EXCHANGE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068331667277076E-2"/>
          <c:y val="0.18371847383215775"/>
          <c:w val="0.96958413654872044"/>
          <c:h val="0.72958098715070452"/>
        </c:manualLayout>
      </c:layout>
      <c:pie3DChart>
        <c:varyColors val="1"/>
        <c:ser>
          <c:idx val="0"/>
          <c:order val="0"/>
          <c:tx>
            <c:strRef>
              <c:f>EXTRAS!$B$26</c:f>
              <c:strCache>
                <c:ptCount val="1"/>
                <c:pt idx="0">
                  <c:v>Total</c:v>
                </c:pt>
              </c:strCache>
            </c:strRef>
          </c:tx>
          <c:dPt>
            <c:idx val="0"/>
            <c:bubble3D val="0"/>
            <c:explosion val="10"/>
            <c:spPr>
              <a:solidFill>
                <a:schemeClr val="accent5">
                  <a:lumMod val="7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9AB-40C7-8F60-4B4D58712542}"/>
              </c:ext>
            </c:extLst>
          </c:dPt>
          <c:dPt>
            <c:idx val="1"/>
            <c:bubble3D val="0"/>
            <c:spPr>
              <a:solidFill>
                <a:schemeClr val="accent5">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9AB-40C7-8F60-4B4D587125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EXTRAS!$A$27:$A$29</c:f>
              <c:strCache>
                <c:ptCount val="2"/>
                <c:pt idx="0">
                  <c:v>BSE</c:v>
                </c:pt>
                <c:pt idx="1">
                  <c:v>NSE</c:v>
                </c:pt>
              </c:strCache>
            </c:strRef>
          </c:cat>
          <c:val>
            <c:numRef>
              <c:f>EXTRAS!$B$27:$B$29</c:f>
              <c:numCache>
                <c:formatCode>General</c:formatCode>
                <c:ptCount val="2"/>
                <c:pt idx="0">
                  <c:v>29</c:v>
                </c:pt>
                <c:pt idx="1">
                  <c:v>56</c:v>
                </c:pt>
              </c:numCache>
            </c:numRef>
          </c:val>
          <c:extLst>
            <c:ext xmlns:c16="http://schemas.microsoft.com/office/drawing/2014/chart" uri="{C3380CC4-5D6E-409C-BE32-E72D297353CC}">
              <c16:uniqueId val="{00000004-F9AB-40C7-8F60-4B4D58712542}"/>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[stock.xlsx]EXTRAS!PivotTable5</c:name>
    <c:fmtId val="6"/>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IN" sz="2000" b="1">
                <a:solidFill>
                  <a:schemeClr val="tx1"/>
                </a:solidFill>
              </a:rPr>
              <a:t>SECTOR-WISE</a:t>
            </a:r>
            <a:r>
              <a:rPr lang="en-IN" sz="2000" b="1" baseline="0">
                <a:solidFill>
                  <a:schemeClr val="tx1"/>
                </a:solidFill>
              </a:rPr>
              <a:t> PROFIT/LOSS &amp; DIVIDEND ANALYSIS</a:t>
            </a:r>
            <a:endParaRPr lang="en-IN" sz="2000" b="1">
              <a:solidFill>
                <a:schemeClr val="tx1"/>
              </a:solidFill>
            </a:endParaRPr>
          </a:p>
        </c:rich>
      </c:tx>
      <c:layout>
        <c:manualLayout>
          <c:xMode val="edge"/>
          <c:yMode val="edge"/>
          <c:x val="0.15001157753797942"/>
          <c:y val="2.0055460507493274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0367932698693"/>
          <c:y val="0.13750796509640587"/>
          <c:w val="0.82567900668098193"/>
          <c:h val="0.72027178390301005"/>
        </c:manualLayout>
      </c:layout>
      <c:barChart>
        <c:barDir val="col"/>
        <c:grouping val="stacked"/>
        <c:varyColors val="0"/>
        <c:ser>
          <c:idx val="0"/>
          <c:order val="0"/>
          <c:tx>
            <c:strRef>
              <c:f>EXTRAS!$L$2</c:f>
              <c:strCache>
                <c:ptCount val="1"/>
                <c:pt idx="0">
                  <c:v>Sum of Profit/ Loss</c:v>
                </c:pt>
              </c:strCache>
            </c:strRef>
          </c:tx>
          <c:spPr>
            <a:solidFill>
              <a:schemeClr val="accent5">
                <a:lumMod val="50000"/>
              </a:schemeClr>
            </a:solidFill>
            <a:ln>
              <a:noFill/>
            </a:ln>
            <a:effectLst/>
          </c:spPr>
          <c:invertIfNegative val="0"/>
          <c:cat>
            <c:strRef>
              <c:f>EXTRAS!$K$3:$K$11</c:f>
              <c:strCache>
                <c:ptCount val="8"/>
                <c:pt idx="0">
                  <c:v>Auto</c:v>
                </c:pt>
                <c:pt idx="1">
                  <c:v>Consumer</c:v>
                </c:pt>
                <c:pt idx="2">
                  <c:v>Energy</c:v>
                </c:pt>
                <c:pt idx="3">
                  <c:v>Finance</c:v>
                </c:pt>
                <c:pt idx="4">
                  <c:v>Infrastructure</c:v>
                </c:pt>
                <c:pt idx="5">
                  <c:v>IT</c:v>
                </c:pt>
                <c:pt idx="6">
                  <c:v>Metal</c:v>
                </c:pt>
                <c:pt idx="7">
                  <c:v>Pharma</c:v>
                </c:pt>
              </c:strCache>
            </c:strRef>
          </c:cat>
          <c:val>
            <c:numRef>
              <c:f>EXTRAS!$L$3:$L$11</c:f>
              <c:numCache>
                <c:formatCode>General</c:formatCode>
                <c:ptCount val="8"/>
                <c:pt idx="0">
                  <c:v>-131210.38000000006</c:v>
                </c:pt>
                <c:pt idx="1">
                  <c:v>185553.58999999991</c:v>
                </c:pt>
                <c:pt idx="2">
                  <c:v>333466.78000000014</c:v>
                </c:pt>
                <c:pt idx="3">
                  <c:v>718576.60000000021</c:v>
                </c:pt>
                <c:pt idx="4">
                  <c:v>78191.359999999928</c:v>
                </c:pt>
                <c:pt idx="5">
                  <c:v>940725.77</c:v>
                </c:pt>
                <c:pt idx="6">
                  <c:v>539718.68000000005</c:v>
                </c:pt>
                <c:pt idx="7">
                  <c:v>461069.25</c:v>
                </c:pt>
              </c:numCache>
            </c:numRef>
          </c:val>
          <c:extLst>
            <c:ext xmlns:c16="http://schemas.microsoft.com/office/drawing/2014/chart" uri="{C3380CC4-5D6E-409C-BE32-E72D297353CC}">
              <c16:uniqueId val="{00000000-1DC5-4EEA-9F44-337F2918986E}"/>
            </c:ext>
          </c:extLst>
        </c:ser>
        <c:ser>
          <c:idx val="1"/>
          <c:order val="1"/>
          <c:tx>
            <c:strRef>
              <c:f>EXTRAS!$M$2</c:f>
              <c:strCache>
                <c:ptCount val="1"/>
                <c:pt idx="0">
                  <c:v>Sum of Dividend Received</c:v>
                </c:pt>
              </c:strCache>
            </c:strRef>
          </c:tx>
          <c:spPr>
            <a:solidFill>
              <a:schemeClr val="accent5">
                <a:lumMod val="40000"/>
                <a:lumOff val="60000"/>
              </a:schemeClr>
            </a:solidFill>
            <a:ln>
              <a:noFill/>
            </a:ln>
            <a:effectLst/>
          </c:spPr>
          <c:invertIfNegative val="0"/>
          <c:cat>
            <c:strRef>
              <c:f>EXTRAS!$K$3:$K$11</c:f>
              <c:strCache>
                <c:ptCount val="8"/>
                <c:pt idx="0">
                  <c:v>Auto</c:v>
                </c:pt>
                <c:pt idx="1">
                  <c:v>Consumer</c:v>
                </c:pt>
                <c:pt idx="2">
                  <c:v>Energy</c:v>
                </c:pt>
                <c:pt idx="3">
                  <c:v>Finance</c:v>
                </c:pt>
                <c:pt idx="4">
                  <c:v>Infrastructure</c:v>
                </c:pt>
                <c:pt idx="5">
                  <c:v>IT</c:v>
                </c:pt>
                <c:pt idx="6">
                  <c:v>Metal</c:v>
                </c:pt>
                <c:pt idx="7">
                  <c:v>Pharma</c:v>
                </c:pt>
              </c:strCache>
            </c:strRef>
          </c:cat>
          <c:val>
            <c:numRef>
              <c:f>EXTRAS!$M$3:$M$11</c:f>
              <c:numCache>
                <c:formatCode>General</c:formatCode>
                <c:ptCount val="8"/>
                <c:pt idx="0">
                  <c:v>38562.295186000003</c:v>
                </c:pt>
                <c:pt idx="1">
                  <c:v>111108.16999799998</c:v>
                </c:pt>
                <c:pt idx="2">
                  <c:v>179699.22083999999</c:v>
                </c:pt>
                <c:pt idx="3">
                  <c:v>189694.74531900004</c:v>
                </c:pt>
                <c:pt idx="4">
                  <c:v>39797.883736000003</c:v>
                </c:pt>
                <c:pt idx="5">
                  <c:v>96816.817827999999</c:v>
                </c:pt>
                <c:pt idx="6">
                  <c:v>39667.498219999994</c:v>
                </c:pt>
                <c:pt idx="7">
                  <c:v>125592.60487400001</c:v>
                </c:pt>
              </c:numCache>
            </c:numRef>
          </c:val>
          <c:extLst>
            <c:ext xmlns:c16="http://schemas.microsoft.com/office/drawing/2014/chart" uri="{C3380CC4-5D6E-409C-BE32-E72D297353CC}">
              <c16:uniqueId val="{00000001-1DC5-4EEA-9F44-337F2918986E}"/>
            </c:ext>
          </c:extLst>
        </c:ser>
        <c:dLbls>
          <c:dLblPos val="ctr"/>
          <c:showLegendKey val="0"/>
          <c:showVal val="0"/>
          <c:showCatName val="0"/>
          <c:showSerName val="0"/>
          <c:showPercent val="0"/>
          <c:showBubbleSize val="0"/>
        </c:dLbls>
        <c:gapWidth val="150"/>
        <c:overlap val="100"/>
        <c:axId val="1533249568"/>
        <c:axId val="1533246688"/>
      </c:barChart>
      <c:catAx>
        <c:axId val="15332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3246688"/>
        <c:crosses val="autoZero"/>
        <c:auto val="1"/>
        <c:lblAlgn val="ctr"/>
        <c:lblOffset val="100"/>
        <c:noMultiLvlLbl val="0"/>
      </c:catAx>
      <c:valAx>
        <c:axId val="153324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3249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[stock.xlsx]EXTRAS!PivotTable6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SECTOR-WISE</a:t>
            </a:r>
            <a:r>
              <a:rPr lang="en-IN" sz="1600" b="1" baseline="0">
                <a:solidFill>
                  <a:schemeClr val="tx1"/>
                </a:solidFill>
              </a:rPr>
              <a:t> RETURN DISTRIBUTION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a:solidFill>
              <a:schemeClr val="lt1">
                <a:alpha val="8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a:solidFill>
              <a:schemeClr val="lt1">
                <a:alpha val="87000"/>
              </a:schemeClr>
            </a:solidFill>
          </a:ln>
          <a:effectLst/>
        </c:spPr>
      </c:pivotFmt>
      <c:pivotFmt>
        <c:idx val="3"/>
        <c:spPr>
          <a:solidFill>
            <a:schemeClr val="accent5"/>
          </a:solidFill>
          <a:ln w="28575">
            <a:solidFill>
              <a:schemeClr val="lt1">
                <a:alpha val="87000"/>
              </a:schemeClr>
            </a:solidFill>
          </a:ln>
          <a:effectLst/>
        </c:spPr>
      </c:pivotFmt>
      <c:pivotFmt>
        <c:idx val="4"/>
        <c:spPr>
          <a:solidFill>
            <a:schemeClr val="accent5"/>
          </a:solidFill>
          <a:ln w="28575">
            <a:solidFill>
              <a:schemeClr val="lt1">
                <a:alpha val="87000"/>
              </a:schemeClr>
            </a:solidFill>
          </a:ln>
          <a:effectLst/>
        </c:spPr>
      </c:pivotFmt>
      <c:pivotFmt>
        <c:idx val="5"/>
        <c:spPr>
          <a:solidFill>
            <a:schemeClr val="accent5"/>
          </a:solidFill>
          <a:ln w="28575">
            <a:solidFill>
              <a:schemeClr val="lt1">
                <a:alpha val="87000"/>
              </a:schemeClr>
            </a:solidFill>
          </a:ln>
          <a:effectLst/>
        </c:spPr>
      </c:pivotFmt>
      <c:pivotFmt>
        <c:idx val="6"/>
        <c:spPr>
          <a:solidFill>
            <a:schemeClr val="accent5"/>
          </a:solidFill>
          <a:ln w="28575">
            <a:solidFill>
              <a:schemeClr val="lt1">
                <a:alpha val="87000"/>
              </a:schemeClr>
            </a:solidFill>
          </a:ln>
          <a:effectLst/>
        </c:spPr>
      </c:pivotFmt>
      <c:pivotFmt>
        <c:idx val="7"/>
        <c:spPr>
          <a:solidFill>
            <a:schemeClr val="accent5"/>
          </a:solidFill>
          <a:ln w="28575">
            <a:solidFill>
              <a:schemeClr val="lt1">
                <a:alpha val="87000"/>
              </a:schemeClr>
            </a:solidFill>
          </a:ln>
          <a:effectLst/>
        </c:spPr>
      </c:pivotFmt>
      <c:pivotFmt>
        <c:idx val="8"/>
        <c:spPr>
          <a:solidFill>
            <a:schemeClr val="accent5"/>
          </a:solidFill>
          <a:ln w="28575">
            <a:solidFill>
              <a:schemeClr val="lt1">
                <a:alpha val="87000"/>
              </a:schemeClr>
            </a:solidFill>
          </a:ln>
          <a:effectLst/>
        </c:spPr>
      </c:pivotFmt>
      <c:pivotFmt>
        <c:idx val="9"/>
        <c:spPr>
          <a:solidFill>
            <a:schemeClr val="accent5"/>
          </a:solidFill>
          <a:ln w="28575">
            <a:solidFill>
              <a:schemeClr val="lt1">
                <a:alpha val="87000"/>
              </a:schemeClr>
            </a:solidFill>
          </a:ln>
          <a:effectLst/>
        </c:spPr>
      </c:pivotFmt>
    </c:pivotFmts>
    <c:plotArea>
      <c:layout/>
      <c:doughnutChart>
        <c:varyColors val="1"/>
        <c:ser>
          <c:idx val="0"/>
          <c:order val="0"/>
          <c:tx>
            <c:strRef>
              <c:f>EXTRAS!$L$14</c:f>
              <c:strCache>
                <c:ptCount val="1"/>
                <c:pt idx="0">
                  <c:v>Total</c:v>
                </c:pt>
              </c:strCache>
            </c:strRef>
          </c:tx>
          <c:spPr>
            <a:ln w="28575">
              <a:solidFill>
                <a:schemeClr val="lt1">
                  <a:alpha val="87000"/>
                </a:schemeClr>
              </a:solidFill>
            </a:ln>
          </c:spPr>
          <c:explosion val="5"/>
          <c:dPt>
            <c:idx val="0"/>
            <c:bubble3D val="0"/>
            <c:spPr>
              <a:solidFill>
                <a:schemeClr val="accent5">
                  <a:tint val="46000"/>
                </a:schemeClr>
              </a:solidFill>
              <a:ln w="28575">
                <a:solidFill>
                  <a:schemeClr val="lt1">
                    <a:alpha val="87000"/>
                  </a:schemeClr>
                </a:solidFill>
              </a:ln>
              <a:effectLst/>
            </c:spPr>
            <c:extLst>
              <c:ext xmlns:c16="http://schemas.microsoft.com/office/drawing/2014/chart" uri="{C3380CC4-5D6E-409C-BE32-E72D297353CC}">
                <c16:uniqueId val="{00000001-1920-42F8-B02A-113CAC57A0D0}"/>
              </c:ext>
            </c:extLst>
          </c:dPt>
          <c:dPt>
            <c:idx val="1"/>
            <c:bubble3D val="0"/>
            <c:spPr>
              <a:solidFill>
                <a:schemeClr val="accent5">
                  <a:tint val="62000"/>
                </a:schemeClr>
              </a:solidFill>
              <a:ln w="28575">
                <a:solidFill>
                  <a:schemeClr val="lt1">
                    <a:alpha val="87000"/>
                  </a:schemeClr>
                </a:solidFill>
              </a:ln>
              <a:effectLst/>
            </c:spPr>
            <c:extLst>
              <c:ext xmlns:c16="http://schemas.microsoft.com/office/drawing/2014/chart" uri="{C3380CC4-5D6E-409C-BE32-E72D297353CC}">
                <c16:uniqueId val="{00000003-1920-42F8-B02A-113CAC57A0D0}"/>
              </c:ext>
            </c:extLst>
          </c:dPt>
          <c:dPt>
            <c:idx val="2"/>
            <c:bubble3D val="0"/>
            <c:spPr>
              <a:solidFill>
                <a:schemeClr val="accent5">
                  <a:tint val="77000"/>
                </a:schemeClr>
              </a:solidFill>
              <a:ln w="28575">
                <a:solidFill>
                  <a:schemeClr val="lt1">
                    <a:alpha val="87000"/>
                  </a:schemeClr>
                </a:solidFill>
              </a:ln>
              <a:effectLst/>
            </c:spPr>
            <c:extLst>
              <c:ext xmlns:c16="http://schemas.microsoft.com/office/drawing/2014/chart" uri="{C3380CC4-5D6E-409C-BE32-E72D297353CC}">
                <c16:uniqueId val="{00000005-1920-42F8-B02A-113CAC57A0D0}"/>
              </c:ext>
            </c:extLst>
          </c:dPt>
          <c:dPt>
            <c:idx val="3"/>
            <c:bubble3D val="0"/>
            <c:spPr>
              <a:solidFill>
                <a:schemeClr val="accent5">
                  <a:tint val="93000"/>
                </a:schemeClr>
              </a:solidFill>
              <a:ln w="28575">
                <a:solidFill>
                  <a:schemeClr val="lt1">
                    <a:alpha val="87000"/>
                  </a:schemeClr>
                </a:solidFill>
              </a:ln>
              <a:effectLst/>
            </c:spPr>
            <c:extLst>
              <c:ext xmlns:c16="http://schemas.microsoft.com/office/drawing/2014/chart" uri="{C3380CC4-5D6E-409C-BE32-E72D297353CC}">
                <c16:uniqueId val="{00000007-1920-42F8-B02A-113CAC57A0D0}"/>
              </c:ext>
            </c:extLst>
          </c:dPt>
          <c:dPt>
            <c:idx val="4"/>
            <c:bubble3D val="0"/>
            <c:spPr>
              <a:solidFill>
                <a:schemeClr val="accent5">
                  <a:shade val="92000"/>
                </a:schemeClr>
              </a:solidFill>
              <a:ln w="28575">
                <a:solidFill>
                  <a:schemeClr val="lt1">
                    <a:alpha val="87000"/>
                  </a:schemeClr>
                </a:solidFill>
              </a:ln>
              <a:effectLst/>
            </c:spPr>
            <c:extLst>
              <c:ext xmlns:c16="http://schemas.microsoft.com/office/drawing/2014/chart" uri="{C3380CC4-5D6E-409C-BE32-E72D297353CC}">
                <c16:uniqueId val="{00000009-1920-42F8-B02A-113CAC57A0D0}"/>
              </c:ext>
            </c:extLst>
          </c:dPt>
          <c:dPt>
            <c:idx val="5"/>
            <c:bubble3D val="0"/>
            <c:spPr>
              <a:solidFill>
                <a:schemeClr val="accent5">
                  <a:shade val="76000"/>
                </a:schemeClr>
              </a:solidFill>
              <a:ln w="28575">
                <a:solidFill>
                  <a:schemeClr val="lt1">
                    <a:alpha val="87000"/>
                  </a:schemeClr>
                </a:solidFill>
              </a:ln>
              <a:effectLst/>
            </c:spPr>
            <c:extLst>
              <c:ext xmlns:c16="http://schemas.microsoft.com/office/drawing/2014/chart" uri="{C3380CC4-5D6E-409C-BE32-E72D297353CC}">
                <c16:uniqueId val="{0000000B-1920-42F8-B02A-113CAC57A0D0}"/>
              </c:ext>
            </c:extLst>
          </c:dPt>
          <c:dPt>
            <c:idx val="6"/>
            <c:bubble3D val="0"/>
            <c:spPr>
              <a:solidFill>
                <a:schemeClr val="accent5">
                  <a:shade val="61000"/>
                </a:schemeClr>
              </a:solidFill>
              <a:ln w="28575">
                <a:solidFill>
                  <a:schemeClr val="lt1">
                    <a:alpha val="87000"/>
                  </a:schemeClr>
                </a:solidFill>
              </a:ln>
              <a:effectLst/>
            </c:spPr>
            <c:extLst>
              <c:ext xmlns:c16="http://schemas.microsoft.com/office/drawing/2014/chart" uri="{C3380CC4-5D6E-409C-BE32-E72D297353CC}">
                <c16:uniqueId val="{0000000D-1920-42F8-B02A-113CAC57A0D0}"/>
              </c:ext>
            </c:extLst>
          </c:dPt>
          <c:dPt>
            <c:idx val="7"/>
            <c:bubble3D val="0"/>
            <c:spPr>
              <a:solidFill>
                <a:schemeClr val="accent5">
                  <a:shade val="45000"/>
                </a:schemeClr>
              </a:solidFill>
              <a:ln w="28575">
                <a:solidFill>
                  <a:schemeClr val="lt1">
                    <a:alpha val="87000"/>
                  </a:schemeClr>
                </a:solidFill>
              </a:ln>
              <a:effectLst/>
            </c:spPr>
            <c:extLst>
              <c:ext xmlns:c16="http://schemas.microsoft.com/office/drawing/2014/chart" uri="{C3380CC4-5D6E-409C-BE32-E72D297353CC}">
                <c16:uniqueId val="{0000000F-1920-42F8-B02A-113CAC57A0D0}"/>
              </c:ext>
            </c:extLst>
          </c:dPt>
          <c:cat>
            <c:strRef>
              <c:f>EXTRAS!$K$15:$K$23</c:f>
              <c:strCache>
                <c:ptCount val="8"/>
                <c:pt idx="0">
                  <c:v>Auto</c:v>
                </c:pt>
                <c:pt idx="1">
                  <c:v>Consumer</c:v>
                </c:pt>
                <c:pt idx="2">
                  <c:v>Energy</c:v>
                </c:pt>
                <c:pt idx="3">
                  <c:v>Finance</c:v>
                </c:pt>
                <c:pt idx="4">
                  <c:v>Infrastructure</c:v>
                </c:pt>
                <c:pt idx="5">
                  <c:v>IT</c:v>
                </c:pt>
                <c:pt idx="6">
                  <c:v>Metal</c:v>
                </c:pt>
                <c:pt idx="7">
                  <c:v>Pharma</c:v>
                </c:pt>
              </c:strCache>
            </c:strRef>
          </c:cat>
          <c:val>
            <c:numRef>
              <c:f>EXTRAS!$L$15:$L$23</c:f>
              <c:numCache>
                <c:formatCode>General</c:formatCode>
                <c:ptCount val="8"/>
                <c:pt idx="0">
                  <c:v>23.78265398237896</c:v>
                </c:pt>
                <c:pt idx="1">
                  <c:v>23.620538193315721</c:v>
                </c:pt>
                <c:pt idx="2">
                  <c:v>90.635302325107133</c:v>
                </c:pt>
                <c:pt idx="3">
                  <c:v>183.34739352696604</c:v>
                </c:pt>
                <c:pt idx="4">
                  <c:v>15.842874666385342</c:v>
                </c:pt>
                <c:pt idx="5">
                  <c:v>197.73621926105716</c:v>
                </c:pt>
                <c:pt idx="6">
                  <c:v>132.24733314701916</c:v>
                </c:pt>
                <c:pt idx="7">
                  <c:v>168.01305732172938</c:v>
                </c:pt>
              </c:numCache>
            </c:numRef>
          </c:val>
          <c:extLst>
            <c:ext xmlns:c16="http://schemas.microsoft.com/office/drawing/2014/chart" uri="{C3380CC4-5D6E-409C-BE32-E72D297353CC}">
              <c16:uniqueId val="{00000010-1920-42F8-B02A-113CAC57A0D0}"/>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[stock.xlsx]EXTRAS!PivotTable7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SECTOR-WISE DIVIDEND CONTRIBUTION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349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34925">
            <a:solidFill>
              <a:schemeClr val="lt1"/>
            </a:solidFill>
          </a:ln>
          <a:effectLst/>
        </c:spPr>
      </c:pivotFmt>
      <c:pivotFmt>
        <c:idx val="3"/>
        <c:spPr>
          <a:solidFill>
            <a:schemeClr val="accent5"/>
          </a:solidFill>
          <a:ln w="34925">
            <a:solidFill>
              <a:schemeClr val="lt1"/>
            </a:solidFill>
          </a:ln>
          <a:effectLst/>
        </c:spPr>
      </c:pivotFmt>
      <c:pivotFmt>
        <c:idx val="4"/>
        <c:spPr>
          <a:solidFill>
            <a:schemeClr val="accent5"/>
          </a:solidFill>
          <a:ln w="34925">
            <a:solidFill>
              <a:schemeClr val="lt1"/>
            </a:solidFill>
          </a:ln>
          <a:effectLst/>
        </c:spPr>
      </c:pivotFmt>
      <c:pivotFmt>
        <c:idx val="5"/>
        <c:spPr>
          <a:solidFill>
            <a:schemeClr val="accent5"/>
          </a:solidFill>
          <a:ln w="34925">
            <a:solidFill>
              <a:schemeClr val="lt1"/>
            </a:solidFill>
          </a:ln>
          <a:effectLst/>
        </c:spPr>
      </c:pivotFmt>
      <c:pivotFmt>
        <c:idx val="6"/>
        <c:spPr>
          <a:solidFill>
            <a:schemeClr val="accent5"/>
          </a:solidFill>
          <a:ln w="34925">
            <a:solidFill>
              <a:schemeClr val="lt1"/>
            </a:solidFill>
          </a:ln>
          <a:effectLst/>
        </c:spPr>
      </c:pivotFmt>
      <c:pivotFmt>
        <c:idx val="7"/>
        <c:spPr>
          <a:solidFill>
            <a:schemeClr val="accent5"/>
          </a:solidFill>
          <a:ln w="34925">
            <a:solidFill>
              <a:schemeClr val="lt1"/>
            </a:solidFill>
          </a:ln>
          <a:effectLst/>
        </c:spPr>
      </c:pivotFmt>
      <c:pivotFmt>
        <c:idx val="8"/>
        <c:spPr>
          <a:solidFill>
            <a:schemeClr val="accent5"/>
          </a:solidFill>
          <a:ln w="34925">
            <a:solidFill>
              <a:schemeClr val="lt1"/>
            </a:solidFill>
          </a:ln>
          <a:effectLst/>
        </c:spPr>
      </c:pivotFmt>
      <c:pivotFmt>
        <c:idx val="9"/>
        <c:spPr>
          <a:solidFill>
            <a:schemeClr val="accent5"/>
          </a:solidFill>
          <a:ln w="34925">
            <a:solidFill>
              <a:schemeClr val="lt1"/>
            </a:solidFill>
          </a:ln>
          <a:effectLst/>
        </c:spPr>
      </c:pivotFmt>
    </c:pivotFmts>
    <c:plotArea>
      <c:layout>
        <c:manualLayout>
          <c:layoutTarget val="inner"/>
          <c:xMode val="edge"/>
          <c:yMode val="edge"/>
          <c:x val="0.14983623952613831"/>
          <c:y val="0.18323205283690119"/>
          <c:w val="0.69135143973044433"/>
          <c:h val="0.72884205433456273"/>
        </c:manualLayout>
      </c:layout>
      <c:doughnutChart>
        <c:varyColors val="1"/>
        <c:ser>
          <c:idx val="0"/>
          <c:order val="0"/>
          <c:tx>
            <c:strRef>
              <c:f>EXTRAS!$O$14</c:f>
              <c:strCache>
                <c:ptCount val="1"/>
                <c:pt idx="0">
                  <c:v>Total</c:v>
                </c:pt>
              </c:strCache>
            </c:strRef>
          </c:tx>
          <c:spPr>
            <a:ln w="34925"/>
          </c:spPr>
          <c:dPt>
            <c:idx val="0"/>
            <c:bubble3D val="0"/>
            <c:spPr>
              <a:solidFill>
                <a:schemeClr val="accent5">
                  <a:shade val="45000"/>
                </a:schemeClr>
              </a:solidFill>
              <a:ln w="34925">
                <a:solidFill>
                  <a:schemeClr val="lt1"/>
                </a:solidFill>
              </a:ln>
              <a:effectLst/>
            </c:spPr>
            <c:extLst>
              <c:ext xmlns:c16="http://schemas.microsoft.com/office/drawing/2014/chart" uri="{C3380CC4-5D6E-409C-BE32-E72D297353CC}">
                <c16:uniqueId val="{00000001-532C-4908-BEF3-D436CECF7CCC}"/>
              </c:ext>
            </c:extLst>
          </c:dPt>
          <c:dPt>
            <c:idx val="1"/>
            <c:bubble3D val="0"/>
            <c:spPr>
              <a:solidFill>
                <a:schemeClr val="accent5">
                  <a:shade val="61000"/>
                </a:schemeClr>
              </a:solidFill>
              <a:ln w="34925">
                <a:solidFill>
                  <a:schemeClr val="lt1"/>
                </a:solidFill>
              </a:ln>
              <a:effectLst/>
            </c:spPr>
            <c:extLst>
              <c:ext xmlns:c16="http://schemas.microsoft.com/office/drawing/2014/chart" uri="{C3380CC4-5D6E-409C-BE32-E72D297353CC}">
                <c16:uniqueId val="{00000003-532C-4908-BEF3-D436CECF7CCC}"/>
              </c:ext>
            </c:extLst>
          </c:dPt>
          <c:dPt>
            <c:idx val="2"/>
            <c:bubble3D val="0"/>
            <c:spPr>
              <a:solidFill>
                <a:schemeClr val="accent5">
                  <a:shade val="76000"/>
                </a:schemeClr>
              </a:solidFill>
              <a:ln w="34925">
                <a:solidFill>
                  <a:schemeClr val="lt1"/>
                </a:solidFill>
              </a:ln>
              <a:effectLst/>
            </c:spPr>
            <c:extLst>
              <c:ext xmlns:c16="http://schemas.microsoft.com/office/drawing/2014/chart" uri="{C3380CC4-5D6E-409C-BE32-E72D297353CC}">
                <c16:uniqueId val="{00000005-532C-4908-BEF3-D436CECF7CCC}"/>
              </c:ext>
            </c:extLst>
          </c:dPt>
          <c:dPt>
            <c:idx val="3"/>
            <c:bubble3D val="0"/>
            <c:spPr>
              <a:solidFill>
                <a:schemeClr val="accent5">
                  <a:shade val="92000"/>
                </a:schemeClr>
              </a:solidFill>
              <a:ln w="34925">
                <a:solidFill>
                  <a:schemeClr val="lt1"/>
                </a:solidFill>
              </a:ln>
              <a:effectLst/>
            </c:spPr>
            <c:extLst>
              <c:ext xmlns:c16="http://schemas.microsoft.com/office/drawing/2014/chart" uri="{C3380CC4-5D6E-409C-BE32-E72D297353CC}">
                <c16:uniqueId val="{00000007-532C-4908-BEF3-D436CECF7CCC}"/>
              </c:ext>
            </c:extLst>
          </c:dPt>
          <c:dPt>
            <c:idx val="4"/>
            <c:bubble3D val="0"/>
            <c:spPr>
              <a:solidFill>
                <a:schemeClr val="accent5">
                  <a:tint val="93000"/>
                </a:schemeClr>
              </a:solidFill>
              <a:ln w="34925">
                <a:solidFill>
                  <a:schemeClr val="lt1"/>
                </a:solidFill>
              </a:ln>
              <a:effectLst/>
            </c:spPr>
            <c:extLst>
              <c:ext xmlns:c16="http://schemas.microsoft.com/office/drawing/2014/chart" uri="{C3380CC4-5D6E-409C-BE32-E72D297353CC}">
                <c16:uniqueId val="{00000009-532C-4908-BEF3-D436CECF7CCC}"/>
              </c:ext>
            </c:extLst>
          </c:dPt>
          <c:dPt>
            <c:idx val="5"/>
            <c:bubble3D val="0"/>
            <c:spPr>
              <a:solidFill>
                <a:schemeClr val="accent5">
                  <a:tint val="77000"/>
                </a:schemeClr>
              </a:solidFill>
              <a:ln w="34925">
                <a:solidFill>
                  <a:schemeClr val="lt1"/>
                </a:solidFill>
              </a:ln>
              <a:effectLst/>
            </c:spPr>
            <c:extLst>
              <c:ext xmlns:c16="http://schemas.microsoft.com/office/drawing/2014/chart" uri="{C3380CC4-5D6E-409C-BE32-E72D297353CC}">
                <c16:uniqueId val="{0000000B-532C-4908-BEF3-D436CECF7CCC}"/>
              </c:ext>
            </c:extLst>
          </c:dPt>
          <c:dPt>
            <c:idx val="6"/>
            <c:bubble3D val="0"/>
            <c:spPr>
              <a:solidFill>
                <a:schemeClr val="accent5">
                  <a:tint val="62000"/>
                </a:schemeClr>
              </a:solidFill>
              <a:ln w="34925">
                <a:solidFill>
                  <a:schemeClr val="lt1"/>
                </a:solidFill>
              </a:ln>
              <a:effectLst/>
            </c:spPr>
            <c:extLst>
              <c:ext xmlns:c16="http://schemas.microsoft.com/office/drawing/2014/chart" uri="{C3380CC4-5D6E-409C-BE32-E72D297353CC}">
                <c16:uniqueId val="{0000000D-532C-4908-BEF3-D436CECF7CCC}"/>
              </c:ext>
            </c:extLst>
          </c:dPt>
          <c:dPt>
            <c:idx val="7"/>
            <c:bubble3D val="0"/>
            <c:spPr>
              <a:solidFill>
                <a:schemeClr val="accent5">
                  <a:tint val="46000"/>
                </a:schemeClr>
              </a:solidFill>
              <a:ln w="34925">
                <a:solidFill>
                  <a:schemeClr val="lt1"/>
                </a:solidFill>
              </a:ln>
              <a:effectLst/>
            </c:spPr>
            <c:extLst>
              <c:ext xmlns:c16="http://schemas.microsoft.com/office/drawing/2014/chart" uri="{C3380CC4-5D6E-409C-BE32-E72D297353CC}">
                <c16:uniqueId val="{0000000F-532C-4908-BEF3-D436CECF7CCC}"/>
              </c:ext>
            </c:extLst>
          </c:dPt>
          <c:cat>
            <c:strRef>
              <c:f>EXTRAS!$N$15:$N$23</c:f>
              <c:strCache>
                <c:ptCount val="8"/>
                <c:pt idx="0">
                  <c:v>Auto</c:v>
                </c:pt>
                <c:pt idx="1">
                  <c:v>Consumer</c:v>
                </c:pt>
                <c:pt idx="2">
                  <c:v>Energy</c:v>
                </c:pt>
                <c:pt idx="3">
                  <c:v>Finance</c:v>
                </c:pt>
                <c:pt idx="4">
                  <c:v>Infrastructure</c:v>
                </c:pt>
                <c:pt idx="5">
                  <c:v>IT</c:v>
                </c:pt>
                <c:pt idx="6">
                  <c:v>Metal</c:v>
                </c:pt>
                <c:pt idx="7">
                  <c:v>Pharma</c:v>
                </c:pt>
              </c:strCache>
            </c:strRef>
          </c:cat>
          <c:val>
            <c:numRef>
              <c:f>EXTRAS!$O$15:$O$23</c:f>
              <c:numCache>
                <c:formatCode>General</c:formatCode>
                <c:ptCount val="8"/>
                <c:pt idx="0">
                  <c:v>10.74</c:v>
                </c:pt>
                <c:pt idx="1">
                  <c:v>37.810000000000009</c:v>
                </c:pt>
                <c:pt idx="2">
                  <c:v>41.89</c:v>
                </c:pt>
                <c:pt idx="3">
                  <c:v>46.07</c:v>
                </c:pt>
                <c:pt idx="4">
                  <c:v>16.149999999999999</c:v>
                </c:pt>
                <c:pt idx="5">
                  <c:v>29.789999999999996</c:v>
                </c:pt>
                <c:pt idx="6">
                  <c:v>7.2999999999999989</c:v>
                </c:pt>
                <c:pt idx="7">
                  <c:v>32.74</c:v>
                </c:pt>
              </c:numCache>
            </c:numRef>
          </c:val>
          <c:extLst>
            <c:ext xmlns:c16="http://schemas.microsoft.com/office/drawing/2014/chart" uri="{C3380CC4-5D6E-409C-BE32-E72D297353CC}">
              <c16:uniqueId val="{00000010-532C-4908-BEF3-D436CECF7C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SECTOR-WISE COST &amp; MARKET VALUE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5">
                <a:lumMod val="40000"/>
                <a:lumOff val="6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60000"/>
                <a:lumOff val="40000"/>
              </a:schemeClr>
            </a:solidFill>
            <a:round/>
          </a:ln>
          <a:effectLst/>
        </c:spPr>
        <c:marker>
          <c:symbol val="circle"/>
          <c:size val="5"/>
          <c:spPr>
            <a:solidFill>
              <a:schemeClr val="accent5">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2123804617642"/>
          <c:y val="0.1999594763364512"/>
          <c:w val="0.82569770757161054"/>
          <c:h val="0.51371114662754036"/>
        </c:manualLayout>
      </c:layout>
      <c:lineChart>
        <c:grouping val="stacked"/>
        <c:varyColors val="0"/>
        <c:ser>
          <c:idx val="0"/>
          <c:order val="0"/>
          <c:tx>
            <c:strRef>
              <c:f>EXTRAS!$R$2</c:f>
              <c:strCache>
                <c:ptCount val="1"/>
                <c:pt idx="0">
                  <c:v>Sum of Total Purchase Price</c:v>
                </c:pt>
              </c:strCache>
            </c:strRef>
          </c:tx>
          <c:spPr>
            <a:ln w="28575" cap="rnd">
              <a:solidFill>
                <a:schemeClr val="accent5">
                  <a:lumMod val="50000"/>
                </a:schemeClr>
              </a:solidFill>
              <a:round/>
            </a:ln>
            <a:effectLst/>
          </c:spPr>
          <c:marker>
            <c:symbol val="circle"/>
            <c:size val="5"/>
            <c:spPr>
              <a:solidFill>
                <a:schemeClr val="accent5">
                  <a:lumMod val="40000"/>
                  <a:lumOff val="60000"/>
                </a:schemeClr>
              </a:solidFill>
              <a:ln w="9525">
                <a:noFill/>
              </a:ln>
              <a:effectLst/>
            </c:spPr>
          </c:marker>
          <c:cat>
            <c:strRef>
              <c:f>EXTRAS!$Q$3:$Q$11</c:f>
              <c:strCache>
                <c:ptCount val="8"/>
                <c:pt idx="0">
                  <c:v>Auto</c:v>
                </c:pt>
                <c:pt idx="1">
                  <c:v>Consumer</c:v>
                </c:pt>
                <c:pt idx="2">
                  <c:v>Energy</c:v>
                </c:pt>
                <c:pt idx="3">
                  <c:v>Finance</c:v>
                </c:pt>
                <c:pt idx="4">
                  <c:v>Infrastructure</c:v>
                </c:pt>
                <c:pt idx="5">
                  <c:v>IT</c:v>
                </c:pt>
                <c:pt idx="6">
                  <c:v>Metal</c:v>
                </c:pt>
                <c:pt idx="7">
                  <c:v>Pharma</c:v>
                </c:pt>
              </c:strCache>
            </c:strRef>
          </c:cat>
          <c:val>
            <c:numRef>
              <c:f>EXTRAS!$R$3:$R$11</c:f>
              <c:numCache>
                <c:formatCode>General</c:formatCode>
                <c:ptCount val="8"/>
                <c:pt idx="0">
                  <c:v>1178321.04</c:v>
                </c:pt>
                <c:pt idx="1">
                  <c:v>3583891.66</c:v>
                </c:pt>
                <c:pt idx="2">
                  <c:v>4251485.18</c:v>
                </c:pt>
                <c:pt idx="3">
                  <c:v>5605485.2200000007</c:v>
                </c:pt>
                <c:pt idx="4">
                  <c:v>1934807.3900000001</c:v>
                </c:pt>
                <c:pt idx="5">
                  <c:v>3544650.8300000005</c:v>
                </c:pt>
                <c:pt idx="6">
                  <c:v>1665582.15</c:v>
                </c:pt>
                <c:pt idx="7">
                  <c:v>4816234.3699999992</c:v>
                </c:pt>
              </c:numCache>
            </c:numRef>
          </c:val>
          <c:smooth val="0"/>
          <c:extLst>
            <c:ext xmlns:c16="http://schemas.microsoft.com/office/drawing/2014/chart" uri="{C3380CC4-5D6E-409C-BE32-E72D297353CC}">
              <c16:uniqueId val="{00000000-B381-4233-8BD2-BCD57A4B4DEE}"/>
            </c:ext>
          </c:extLst>
        </c:ser>
        <c:ser>
          <c:idx val="1"/>
          <c:order val="1"/>
          <c:tx>
            <c:strRef>
              <c:f>EXTRAS!$S$2</c:f>
              <c:strCache>
                <c:ptCount val="1"/>
                <c:pt idx="0">
                  <c:v>Sum of Total Current Value</c:v>
                </c:pt>
              </c:strCache>
            </c:strRef>
          </c:tx>
          <c:spPr>
            <a:ln w="28575" cap="rnd">
              <a:solidFill>
                <a:schemeClr val="accent5">
                  <a:lumMod val="60000"/>
                  <a:lumOff val="40000"/>
                </a:schemeClr>
              </a:solidFill>
              <a:round/>
            </a:ln>
            <a:effectLst/>
          </c:spPr>
          <c:marker>
            <c:symbol val="circle"/>
            <c:size val="5"/>
            <c:spPr>
              <a:solidFill>
                <a:schemeClr val="accent5">
                  <a:lumMod val="50000"/>
                </a:schemeClr>
              </a:solidFill>
              <a:ln w="9525">
                <a:noFill/>
              </a:ln>
              <a:effectLst/>
            </c:spPr>
          </c:marker>
          <c:cat>
            <c:strRef>
              <c:f>EXTRAS!$Q$3:$Q$11</c:f>
              <c:strCache>
                <c:ptCount val="8"/>
                <c:pt idx="0">
                  <c:v>Auto</c:v>
                </c:pt>
                <c:pt idx="1">
                  <c:v>Consumer</c:v>
                </c:pt>
                <c:pt idx="2">
                  <c:v>Energy</c:v>
                </c:pt>
                <c:pt idx="3">
                  <c:v>Finance</c:v>
                </c:pt>
                <c:pt idx="4">
                  <c:v>Infrastructure</c:v>
                </c:pt>
                <c:pt idx="5">
                  <c:v>IT</c:v>
                </c:pt>
                <c:pt idx="6">
                  <c:v>Metal</c:v>
                </c:pt>
                <c:pt idx="7">
                  <c:v>Pharma</c:v>
                </c:pt>
              </c:strCache>
            </c:strRef>
          </c:cat>
          <c:val>
            <c:numRef>
              <c:f>EXTRAS!$S$3:$S$11</c:f>
              <c:numCache>
                <c:formatCode>General</c:formatCode>
                <c:ptCount val="8"/>
                <c:pt idx="0">
                  <c:v>1047110.6599999999</c:v>
                </c:pt>
                <c:pt idx="1">
                  <c:v>3769445.25</c:v>
                </c:pt>
                <c:pt idx="2">
                  <c:v>4584951.96</c:v>
                </c:pt>
                <c:pt idx="3">
                  <c:v>6324061.8199999994</c:v>
                </c:pt>
                <c:pt idx="4">
                  <c:v>2012998.75</c:v>
                </c:pt>
                <c:pt idx="5">
                  <c:v>4485376.5999999996</c:v>
                </c:pt>
                <c:pt idx="6">
                  <c:v>2205300.83</c:v>
                </c:pt>
                <c:pt idx="7">
                  <c:v>5277303.62</c:v>
                </c:pt>
              </c:numCache>
            </c:numRef>
          </c:val>
          <c:smooth val="0"/>
          <c:extLst>
            <c:ext xmlns:c16="http://schemas.microsoft.com/office/drawing/2014/chart" uri="{C3380CC4-5D6E-409C-BE32-E72D297353CC}">
              <c16:uniqueId val="{00000001-B381-4233-8BD2-BCD57A4B4DEE}"/>
            </c:ext>
          </c:extLst>
        </c:ser>
        <c:dLbls>
          <c:showLegendKey val="0"/>
          <c:showVal val="0"/>
          <c:showCatName val="0"/>
          <c:showSerName val="0"/>
          <c:showPercent val="0"/>
          <c:showBubbleSize val="0"/>
        </c:dLbls>
        <c:marker val="1"/>
        <c:smooth val="0"/>
        <c:axId val="1834241072"/>
        <c:axId val="1834236272"/>
      </c:lineChart>
      <c:catAx>
        <c:axId val="183424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36272"/>
        <c:crosses val="autoZero"/>
        <c:auto val="1"/>
        <c:lblAlgn val="ctr"/>
        <c:lblOffset val="100"/>
        <c:noMultiLvlLbl val="0"/>
      </c:catAx>
      <c:valAx>
        <c:axId val="183423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4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[stock.xlsx]EXTRAS!PivotTable10</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SECTOR-WISE</a:t>
            </a:r>
            <a:r>
              <a:rPr lang="en-IN" sz="2000" b="1" baseline="0">
                <a:solidFill>
                  <a:schemeClr val="tx1"/>
                </a:solidFill>
              </a:rPr>
              <a:t> CURRENT PORTFOLIO VALUE </a:t>
            </a:r>
            <a:endParaRPr lang="en-IN" sz="2000" b="1">
              <a:solidFill>
                <a:schemeClr val="tx1"/>
              </a:solidFill>
            </a:endParaRPr>
          </a:p>
        </c:rich>
      </c:tx>
      <c:layout>
        <c:manualLayout>
          <c:xMode val="edge"/>
          <c:yMode val="edge"/>
          <c:x val="0.13999677323916485"/>
          <c:y val="2.294806444007203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40680296553497E-2"/>
          <c:y val="0.14127720039143107"/>
          <c:w val="0.93621648738654883"/>
          <c:h val="0.75286870366622349"/>
        </c:manualLayout>
      </c:layout>
      <c:barChart>
        <c:barDir val="col"/>
        <c:grouping val="clustered"/>
        <c:varyColors val="0"/>
        <c:ser>
          <c:idx val="0"/>
          <c:order val="0"/>
          <c:tx>
            <c:strRef>
              <c:f>EXTRAS!$R$14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EXTRAS!$Q$15:$Q$23</c:f>
              <c:strCache>
                <c:ptCount val="8"/>
                <c:pt idx="0">
                  <c:v>Auto</c:v>
                </c:pt>
                <c:pt idx="1">
                  <c:v>Consumer</c:v>
                </c:pt>
                <c:pt idx="2">
                  <c:v>Energy</c:v>
                </c:pt>
                <c:pt idx="3">
                  <c:v>Finance</c:v>
                </c:pt>
                <c:pt idx="4">
                  <c:v>Infrastructure</c:v>
                </c:pt>
                <c:pt idx="5">
                  <c:v>IT</c:v>
                </c:pt>
                <c:pt idx="6">
                  <c:v>Metal</c:v>
                </c:pt>
                <c:pt idx="7">
                  <c:v>Pharma</c:v>
                </c:pt>
              </c:strCache>
            </c:strRef>
          </c:cat>
          <c:val>
            <c:numRef>
              <c:f>EXTRAS!$R$15:$R$23</c:f>
              <c:numCache>
                <c:formatCode>General</c:formatCode>
                <c:ptCount val="8"/>
                <c:pt idx="0">
                  <c:v>1047110.6599999999</c:v>
                </c:pt>
                <c:pt idx="1">
                  <c:v>3769445.25</c:v>
                </c:pt>
                <c:pt idx="2">
                  <c:v>4584951.96</c:v>
                </c:pt>
                <c:pt idx="3">
                  <c:v>6324061.8199999994</c:v>
                </c:pt>
                <c:pt idx="4">
                  <c:v>2012998.75</c:v>
                </c:pt>
                <c:pt idx="5">
                  <c:v>4485376.5999999996</c:v>
                </c:pt>
                <c:pt idx="6">
                  <c:v>2205300.83</c:v>
                </c:pt>
                <c:pt idx="7">
                  <c:v>5277303.62</c:v>
                </c:pt>
              </c:numCache>
            </c:numRef>
          </c:val>
          <c:extLst>
            <c:ext xmlns:c16="http://schemas.microsoft.com/office/drawing/2014/chart" uri="{C3380CC4-5D6E-409C-BE32-E72D297353CC}">
              <c16:uniqueId val="{00000000-56C2-4F57-B077-69951A533096}"/>
            </c:ext>
          </c:extLst>
        </c:ser>
        <c:dLbls>
          <c:dLblPos val="outEnd"/>
          <c:showLegendKey val="0"/>
          <c:showVal val="1"/>
          <c:showCatName val="0"/>
          <c:showSerName val="0"/>
          <c:showPercent val="0"/>
          <c:showBubbleSize val="0"/>
        </c:dLbls>
        <c:gapWidth val="219"/>
        <c:overlap val="-27"/>
        <c:axId val="1394858000"/>
        <c:axId val="1407653696"/>
      </c:barChart>
      <c:catAx>
        <c:axId val="1394858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653696"/>
        <c:crosses val="autoZero"/>
        <c:auto val="1"/>
        <c:lblAlgn val="ctr"/>
        <c:lblOffset val="100"/>
        <c:noMultiLvlLbl val="0"/>
      </c:catAx>
      <c:valAx>
        <c:axId val="14076536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39485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18</xdr:col>
      <xdr:colOff>547782</xdr:colOff>
      <xdr:row>13</xdr:row>
      <xdr:rowOff>8163</xdr:rowOff>
    </xdr:from>
    <xdr:to>
      <xdr:col>28</xdr:col>
      <xdr:colOff>226653</xdr:colOff>
      <xdr:row>32</xdr:row>
      <xdr:rowOff>137159</xdr:rowOff>
    </xdr:to>
    <xdr:graphicFrame macro="">
      <xdr:nvGraphicFramePr>
        <xdr:cNvPr id="2" name="Chart 1">
          <a:extLst>
            <a:ext uri="{FF2B5EF4-FFF2-40B4-BE49-F238E27FC236}">
              <a16:creationId xmlns:a16="http://schemas.microsoft.com/office/drawing/2014/main" id="{EFE4366E-7367-9E7A-967E-9051C3266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318654</xdr:colOff>
      <xdr:row>59</xdr:row>
      <xdr:rowOff>124495</xdr:rowOff>
    </xdr:from>
    <xdr:to>
      <xdr:col>23</xdr:col>
      <xdr:colOff>138545</xdr:colOff>
      <xdr:row>80</xdr:row>
      <xdr:rowOff>166255</xdr:rowOff>
    </xdr:to>
    <xdr:graphicFrame macro="">
      <xdr:nvGraphicFramePr>
        <xdr:cNvPr id="3" name="Chart 2">
          <a:extLst>
            <a:ext uri="{FF2B5EF4-FFF2-40B4-BE49-F238E27FC236}">
              <a16:creationId xmlns:a16="http://schemas.microsoft.com/office/drawing/2014/main" id="{401E6B2C-B99B-3B63-BFB0-5B7C22348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163618</xdr:colOff>
      <xdr:row>59</xdr:row>
      <xdr:rowOff>137911</xdr:rowOff>
    </xdr:from>
    <xdr:to>
      <xdr:col>28</xdr:col>
      <xdr:colOff>248861</xdr:colOff>
      <xdr:row>81</xdr:row>
      <xdr:rowOff>10306</xdr:rowOff>
    </xdr:to>
    <xdr:graphicFrame macro="">
      <xdr:nvGraphicFramePr>
        <xdr:cNvPr id="4" name="Chart 3">
          <a:extLst>
            <a:ext uri="{FF2B5EF4-FFF2-40B4-BE49-F238E27FC236}">
              <a16:creationId xmlns:a16="http://schemas.microsoft.com/office/drawing/2014/main" id="{F079DBEE-877B-E793-7748-C65341A22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47258</xdr:colOff>
      <xdr:row>32</xdr:row>
      <xdr:rowOff>141417</xdr:rowOff>
    </xdr:from>
    <xdr:to>
      <xdr:col>28</xdr:col>
      <xdr:colOff>246530</xdr:colOff>
      <xdr:row>59</xdr:row>
      <xdr:rowOff>112059</xdr:rowOff>
    </xdr:to>
    <xdr:graphicFrame macro="">
      <xdr:nvGraphicFramePr>
        <xdr:cNvPr id="5" name="Chart 4">
          <a:extLst>
            <a:ext uri="{FF2B5EF4-FFF2-40B4-BE49-F238E27FC236}">
              <a16:creationId xmlns:a16="http://schemas.microsoft.com/office/drawing/2014/main" id="{2A4AA78D-6FB3-4058-83D7-8B5A988E8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37</xdr:row>
      <xdr:rowOff>87889</xdr:rowOff>
    </xdr:from>
    <xdr:to>
      <xdr:col>12</xdr:col>
      <xdr:colOff>53162</xdr:colOff>
      <xdr:row>60</xdr:row>
      <xdr:rowOff>0</xdr:rowOff>
    </xdr:to>
    <xdr:graphicFrame macro="">
      <xdr:nvGraphicFramePr>
        <xdr:cNvPr id="7" name="Chart 6">
          <a:extLst>
            <a:ext uri="{FF2B5EF4-FFF2-40B4-BE49-F238E27FC236}">
              <a16:creationId xmlns:a16="http://schemas.microsoft.com/office/drawing/2014/main" id="{F3D6CCAF-104C-A1EB-A644-E7B1D2043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60</xdr:row>
      <xdr:rowOff>20501</xdr:rowOff>
    </xdr:from>
    <xdr:to>
      <xdr:col>17</xdr:col>
      <xdr:colOff>366889</xdr:colOff>
      <xdr:row>81</xdr:row>
      <xdr:rowOff>146539</xdr:rowOff>
    </xdr:to>
    <xdr:graphicFrame macro="">
      <xdr:nvGraphicFramePr>
        <xdr:cNvPr id="6" name="Chart 2">
          <a:extLst>
            <a:ext uri="{FF2B5EF4-FFF2-40B4-BE49-F238E27FC236}">
              <a16:creationId xmlns:a16="http://schemas.microsoft.com/office/drawing/2014/main" id="{43659328-3734-5C19-E7A0-21D06601F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24</xdr:row>
      <xdr:rowOff>90717</xdr:rowOff>
    </xdr:from>
    <xdr:to>
      <xdr:col>7</xdr:col>
      <xdr:colOff>24581</xdr:colOff>
      <xdr:row>37</xdr:row>
      <xdr:rowOff>120967</xdr:rowOff>
    </xdr:to>
    <xdr:graphicFrame macro="">
      <xdr:nvGraphicFramePr>
        <xdr:cNvPr id="9" name="Chart 3">
          <a:extLst>
            <a:ext uri="{FF2B5EF4-FFF2-40B4-BE49-F238E27FC236}">
              <a16:creationId xmlns:a16="http://schemas.microsoft.com/office/drawing/2014/main" id="{DF6EE877-4A64-C815-4FC7-78A8BC6AD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35646</xdr:colOff>
      <xdr:row>12</xdr:row>
      <xdr:rowOff>1</xdr:rowOff>
    </xdr:from>
    <xdr:to>
      <xdr:col>7</xdr:col>
      <xdr:colOff>0</xdr:colOff>
      <xdr:row>24</xdr:row>
      <xdr:rowOff>110837</xdr:rowOff>
    </xdr:to>
    <xdr:graphicFrame macro="">
      <xdr:nvGraphicFramePr>
        <xdr:cNvPr id="10" name="Chart 4">
          <a:extLst>
            <a:ext uri="{FF2B5EF4-FFF2-40B4-BE49-F238E27FC236}">
              <a16:creationId xmlns:a16="http://schemas.microsoft.com/office/drawing/2014/main" id="{15E9B9FA-8DDE-1982-CEFE-7FCB939F4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27679</xdr:colOff>
      <xdr:row>12</xdr:row>
      <xdr:rowOff>3029</xdr:rowOff>
    </xdr:from>
    <xdr:to>
      <xdr:col>19</xdr:col>
      <xdr:colOff>15874</xdr:colOff>
      <xdr:row>37</xdr:row>
      <xdr:rowOff>88605</xdr:rowOff>
    </xdr:to>
    <xdr:graphicFrame macro="">
      <xdr:nvGraphicFramePr>
        <xdr:cNvPr id="11" name="Chart 5">
          <a:extLst>
            <a:ext uri="{FF2B5EF4-FFF2-40B4-BE49-F238E27FC236}">
              <a16:creationId xmlns:a16="http://schemas.microsoft.com/office/drawing/2014/main" id="{8871F20F-B7DB-CD31-5F86-467069354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439002</xdr:colOff>
      <xdr:row>81</xdr:row>
      <xdr:rowOff>155191</xdr:rowOff>
    </xdr:from>
    <xdr:to>
      <xdr:col>17</xdr:col>
      <xdr:colOff>279906</xdr:colOff>
      <xdr:row>101</xdr:row>
      <xdr:rowOff>146538</xdr:rowOff>
    </xdr:to>
    <xdr:graphicFrame macro="">
      <xdr:nvGraphicFramePr>
        <xdr:cNvPr id="12" name="Chart 6">
          <a:extLst>
            <a:ext uri="{FF2B5EF4-FFF2-40B4-BE49-F238E27FC236}">
              <a16:creationId xmlns:a16="http://schemas.microsoft.com/office/drawing/2014/main" id="{E94BAB9B-6B23-6C28-CD05-F8CD12411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31340</xdr:colOff>
      <xdr:row>37</xdr:row>
      <xdr:rowOff>117490</xdr:rowOff>
    </xdr:from>
    <xdr:to>
      <xdr:col>18</xdr:col>
      <xdr:colOff>602758</xdr:colOff>
      <xdr:row>59</xdr:row>
      <xdr:rowOff>127392</xdr:rowOff>
    </xdr:to>
    <xdr:graphicFrame macro="">
      <xdr:nvGraphicFramePr>
        <xdr:cNvPr id="13" name="Chart 7">
          <a:extLst>
            <a:ext uri="{FF2B5EF4-FFF2-40B4-BE49-F238E27FC236}">
              <a16:creationId xmlns:a16="http://schemas.microsoft.com/office/drawing/2014/main" id="{BA796247-5727-3E81-DE7D-B0C4ABA8F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63389</xdr:colOff>
      <xdr:row>81</xdr:row>
      <xdr:rowOff>146917</xdr:rowOff>
    </xdr:from>
    <xdr:to>
      <xdr:col>11</xdr:col>
      <xdr:colOff>410308</xdr:colOff>
      <xdr:row>101</xdr:row>
      <xdr:rowOff>146539</xdr:rowOff>
    </xdr:to>
    <xdr:graphicFrame macro="">
      <xdr:nvGraphicFramePr>
        <xdr:cNvPr id="14" name="Chart 8">
          <a:extLst>
            <a:ext uri="{FF2B5EF4-FFF2-40B4-BE49-F238E27FC236}">
              <a16:creationId xmlns:a16="http://schemas.microsoft.com/office/drawing/2014/main" id="{DE22EF0A-3251-830D-0867-6732F7127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304204</xdr:colOff>
      <xdr:row>81</xdr:row>
      <xdr:rowOff>16397</xdr:rowOff>
    </xdr:from>
    <xdr:to>
      <xdr:col>28</xdr:col>
      <xdr:colOff>482061</xdr:colOff>
      <xdr:row>101</xdr:row>
      <xdr:rowOff>143506</xdr:rowOff>
    </xdr:to>
    <xdr:graphicFrame macro="">
      <xdr:nvGraphicFramePr>
        <xdr:cNvPr id="15" name="Chart 9">
          <a:extLst>
            <a:ext uri="{FF2B5EF4-FFF2-40B4-BE49-F238E27FC236}">
              <a16:creationId xmlns:a16="http://schemas.microsoft.com/office/drawing/2014/main" id="{8CCD8BB5-EAF5-CD44-BB34-DC3C84811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592496</xdr:colOff>
      <xdr:row>0</xdr:row>
      <xdr:rowOff>1</xdr:rowOff>
    </xdr:from>
    <xdr:to>
      <xdr:col>21</xdr:col>
      <xdr:colOff>577748</xdr:colOff>
      <xdr:row>13</xdr:row>
      <xdr:rowOff>32425</xdr:rowOff>
    </xdr:to>
    <mc:AlternateContent xmlns:mc="http://schemas.openxmlformats.org/markup-compatibility/2006">
      <mc:Choice xmlns:a14="http://schemas.microsoft.com/office/drawing/2010/main" Requires="a14">
        <xdr:graphicFrame macro="">
          <xdr:nvGraphicFramePr>
            <xdr:cNvPr id="16" name="Sector">
              <a:extLst>
                <a:ext uri="{FF2B5EF4-FFF2-40B4-BE49-F238E27FC236}">
                  <a16:creationId xmlns:a16="http://schemas.microsoft.com/office/drawing/2014/main" id="{64798C1D-3533-4C88-9DAD-449D157F5AAD}"/>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1565296" y="1"/>
              <a:ext cx="1814052" cy="2409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581230</xdr:colOff>
      <xdr:row>1</xdr:row>
      <xdr:rowOff>133047</xdr:rowOff>
    </xdr:from>
    <xdr:to>
      <xdr:col>8</xdr:col>
      <xdr:colOff>581230</xdr:colOff>
      <xdr:row>9</xdr:row>
      <xdr:rowOff>2734</xdr:rowOff>
    </xdr:to>
    <mc:AlternateContent xmlns:mc="http://schemas.openxmlformats.org/markup-compatibility/2006">
      <mc:Choice xmlns:tsle="http://schemas.microsoft.com/office/drawing/2012/timeslicer" Requires="tsle">
        <xdr:graphicFrame macro="">
          <xdr:nvGraphicFramePr>
            <xdr:cNvPr id="17" name="Buy Date">
              <a:extLst>
                <a:ext uri="{FF2B5EF4-FFF2-40B4-BE49-F238E27FC236}">
                  <a16:creationId xmlns:a16="http://schemas.microsoft.com/office/drawing/2014/main" id="{864E0DEC-7FB6-436C-B42B-1DFA08A92031}"/>
                </a:ext>
              </a:extLst>
            </xdr:cNvPr>
            <xdr:cNvGraphicFramePr/>
          </xdr:nvGraphicFramePr>
          <xdr:xfrm>
            <a:off x="0" y="0"/>
            <a:ext cx="0" cy="0"/>
          </xdr:xfrm>
          <a:graphic>
            <a:graphicData uri="http://schemas.microsoft.com/office/drawing/2012/timeslicer">
              <tsle:timeslicer xmlns:tsle="http://schemas.microsoft.com/office/drawing/2012/timeslicer" name="Buy Date"/>
            </a:graphicData>
          </a:graphic>
        </xdr:graphicFrame>
      </mc:Choice>
      <mc:Fallback>
        <xdr:sp macro="" textlink="">
          <xdr:nvSpPr>
            <xdr:cNvPr id="0" name=""/>
            <xdr:cNvSpPr>
              <a:spLocks noTextEdit="1"/>
            </xdr:cNvSpPr>
          </xdr:nvSpPr>
          <xdr:spPr>
            <a:xfrm>
              <a:off x="1800430" y="315927"/>
              <a:ext cx="3657600" cy="13327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299064</xdr:colOff>
      <xdr:row>0</xdr:row>
      <xdr:rowOff>32774</xdr:rowOff>
    </xdr:from>
    <xdr:to>
      <xdr:col>28</xdr:col>
      <xdr:colOff>284316</xdr:colOff>
      <xdr:row>13</xdr:row>
      <xdr:rowOff>0</xdr:rowOff>
    </xdr:to>
    <mc:AlternateContent xmlns:mc="http://schemas.openxmlformats.org/markup-compatibility/2006">
      <mc:Choice xmlns:a14="http://schemas.microsoft.com/office/drawing/2010/main" Requires="a14">
        <xdr:graphicFrame macro="">
          <xdr:nvGraphicFramePr>
            <xdr:cNvPr id="18" name="Stock Name">
              <a:extLst>
                <a:ext uri="{FF2B5EF4-FFF2-40B4-BE49-F238E27FC236}">
                  <a16:creationId xmlns:a16="http://schemas.microsoft.com/office/drawing/2014/main" id="{BD9F9227-CDA7-4895-8471-11B4F347AF25}"/>
                </a:ext>
              </a:extLst>
            </xdr:cNvPr>
            <xdr:cNvGraphicFramePr/>
          </xdr:nvGraphicFramePr>
          <xdr:xfrm>
            <a:off x="0" y="0"/>
            <a:ext cx="0" cy="0"/>
          </xdr:xfrm>
          <a:graphic>
            <a:graphicData uri="http://schemas.microsoft.com/office/drawing/2010/slicer">
              <sle:slicer xmlns:sle="http://schemas.microsoft.com/office/drawing/2010/slicer" name="Stock Name"/>
            </a:graphicData>
          </a:graphic>
        </xdr:graphicFrame>
      </mc:Choice>
      <mc:Fallback>
        <xdr:sp macro="" textlink="">
          <xdr:nvSpPr>
            <xdr:cNvPr id="0" name=""/>
            <xdr:cNvSpPr>
              <a:spLocks noTextEdit="1"/>
            </xdr:cNvSpPr>
          </xdr:nvSpPr>
          <xdr:spPr>
            <a:xfrm>
              <a:off x="15539064" y="32774"/>
              <a:ext cx="1814052" cy="2344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28984</xdr:colOff>
      <xdr:row>0</xdr:row>
      <xdr:rowOff>64833</xdr:rowOff>
    </xdr:from>
    <xdr:to>
      <xdr:col>3</xdr:col>
      <xdr:colOff>14236</xdr:colOff>
      <xdr:row>7</xdr:row>
      <xdr:rowOff>53788</xdr:rowOff>
    </xdr:to>
    <mc:AlternateContent xmlns:mc="http://schemas.openxmlformats.org/markup-compatibility/2006">
      <mc:Choice xmlns:a14="http://schemas.microsoft.com/office/drawing/2010/main" Requires="a14">
        <xdr:graphicFrame macro="">
          <xdr:nvGraphicFramePr>
            <xdr:cNvPr id="19" name="Status">
              <a:extLst>
                <a:ext uri="{FF2B5EF4-FFF2-40B4-BE49-F238E27FC236}">
                  <a16:creationId xmlns:a16="http://schemas.microsoft.com/office/drawing/2014/main" id="{5A9B922B-6EFE-4AD5-BB69-EBBE224B9A4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8984" y="64833"/>
              <a:ext cx="1814052" cy="1269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41282</xdr:colOff>
      <xdr:row>6</xdr:row>
      <xdr:rowOff>165217</xdr:rowOff>
    </xdr:from>
    <xdr:to>
      <xdr:col>3</xdr:col>
      <xdr:colOff>26534</xdr:colOff>
      <xdr:row>12</xdr:row>
      <xdr:rowOff>51734</xdr:rowOff>
    </xdr:to>
    <mc:AlternateContent xmlns:mc="http://schemas.openxmlformats.org/markup-compatibility/2006">
      <mc:Choice xmlns:a14="http://schemas.microsoft.com/office/drawing/2010/main" Requires="a14">
        <xdr:graphicFrame macro="">
          <xdr:nvGraphicFramePr>
            <xdr:cNvPr id="20" name="Exchange">
              <a:extLst>
                <a:ext uri="{FF2B5EF4-FFF2-40B4-BE49-F238E27FC236}">
                  <a16:creationId xmlns:a16="http://schemas.microsoft.com/office/drawing/2014/main" id="{3940019D-5A4F-4352-8DB0-373E182CE0FC}"/>
                </a:ext>
              </a:extLst>
            </xdr:cNvPr>
            <xdr:cNvGraphicFramePr/>
          </xdr:nvGraphicFramePr>
          <xdr:xfrm>
            <a:off x="0" y="0"/>
            <a:ext cx="0" cy="0"/>
          </xdr:xfrm>
          <a:graphic>
            <a:graphicData uri="http://schemas.microsoft.com/office/drawing/2010/slicer">
              <sle:slicer xmlns:sle="http://schemas.microsoft.com/office/drawing/2010/slicer" name="Exchange"/>
            </a:graphicData>
          </a:graphic>
        </xdr:graphicFrame>
      </mc:Choice>
      <mc:Fallback>
        <xdr:sp macro="" textlink="">
          <xdr:nvSpPr>
            <xdr:cNvPr id="0" name=""/>
            <xdr:cNvSpPr>
              <a:spLocks noTextEdit="1"/>
            </xdr:cNvSpPr>
          </xdr:nvSpPr>
          <xdr:spPr>
            <a:xfrm>
              <a:off x="41282" y="1262497"/>
              <a:ext cx="1814052" cy="983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18945</xdr:colOff>
      <xdr:row>0</xdr:row>
      <xdr:rowOff>0</xdr:rowOff>
    </xdr:from>
    <xdr:to>
      <xdr:col>25</xdr:col>
      <xdr:colOff>301624</xdr:colOff>
      <xdr:row>11</xdr:row>
      <xdr:rowOff>174624</xdr:rowOff>
    </xdr:to>
    <mc:AlternateContent xmlns:mc="http://schemas.openxmlformats.org/markup-compatibility/2006">
      <mc:Choice xmlns:a14="http://schemas.microsoft.com/office/drawing/2010/main" Requires="a14">
        <xdr:graphicFrame macro="">
          <xdr:nvGraphicFramePr>
            <xdr:cNvPr id="21" name="Payment Mode">
              <a:extLst>
                <a:ext uri="{FF2B5EF4-FFF2-40B4-BE49-F238E27FC236}">
                  <a16:creationId xmlns:a16="http://schemas.microsoft.com/office/drawing/2014/main" id="{11823D1E-C39E-4BC2-9AE7-FDEAE2ADBEA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3430145" y="0"/>
              <a:ext cx="2111479" cy="2186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587374</xdr:colOff>
      <xdr:row>0</xdr:row>
      <xdr:rowOff>1</xdr:rowOff>
    </xdr:from>
    <xdr:to>
      <xdr:col>19</xdr:col>
      <xdr:colOff>967</xdr:colOff>
      <xdr:row>12</xdr:row>
      <xdr:rowOff>9182</xdr:rowOff>
    </xdr:to>
    <xdr:sp macro="" textlink="">
      <xdr:nvSpPr>
        <xdr:cNvPr id="22" name="TextBox 21">
          <a:extLst>
            <a:ext uri="{FF2B5EF4-FFF2-40B4-BE49-F238E27FC236}">
              <a16:creationId xmlns:a16="http://schemas.microsoft.com/office/drawing/2014/main" id="{65C35FBA-5F7B-D1BB-B443-92DC083325D2}"/>
            </a:ext>
          </a:extLst>
        </xdr:cNvPr>
        <xdr:cNvSpPr txBox="1"/>
      </xdr:nvSpPr>
      <xdr:spPr>
        <a:xfrm>
          <a:off x="5434796" y="1"/>
          <a:ext cx="6078798" cy="22125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1">
              <a:ln>
                <a:solidFill>
                  <a:schemeClr val="accent5">
                    <a:lumMod val="40000"/>
                    <a:lumOff val="60000"/>
                  </a:schemeClr>
                </a:solidFill>
              </a:ln>
              <a:effectLst>
                <a:outerShdw blurRad="60007" dist="200025" dir="15000000" sy="30000" kx="-1800000" algn="bl" rotWithShape="0">
                  <a:prstClr val="black">
                    <a:alpha val="32000"/>
                  </a:prstClr>
                </a:outerShdw>
              </a:effectLst>
              <a:latin typeface="Arial Black" panose="020B0A04020102020204" pitchFamily="34" charset="0"/>
            </a:rPr>
            <a:t>COMPREHENSIVE STOCK</a:t>
          </a:r>
          <a:r>
            <a:rPr lang="en-IN" sz="2800" b="1" i="1" baseline="0">
              <a:ln>
                <a:solidFill>
                  <a:schemeClr val="accent5">
                    <a:lumMod val="40000"/>
                    <a:lumOff val="60000"/>
                  </a:schemeClr>
                </a:solidFill>
              </a:ln>
              <a:effectLst>
                <a:outerShdw blurRad="60007" dist="200025" dir="15000000" sy="30000" kx="-1800000" algn="bl" rotWithShape="0">
                  <a:prstClr val="black">
                    <a:alpha val="32000"/>
                  </a:prstClr>
                </a:outerShdw>
              </a:effectLst>
              <a:latin typeface="Arial Black" panose="020B0A04020102020204" pitchFamily="34" charset="0"/>
            </a:rPr>
            <a:t> PORTFOLIO PERFORMANCE ANALYSIS</a:t>
          </a:r>
          <a:endParaRPr lang="en-IN" sz="2800" b="1" i="1">
            <a:ln>
              <a:solidFill>
                <a:schemeClr val="accent5">
                  <a:lumMod val="40000"/>
                  <a:lumOff val="60000"/>
                </a:schemeClr>
              </a:solidFill>
            </a:ln>
            <a:effectLst>
              <a:outerShdw blurRad="60007" dist="200025" dir="15000000" sy="30000" kx="-1800000" algn="bl" rotWithShape="0">
                <a:prstClr val="black">
                  <a:alpha val="32000"/>
                </a:prstClr>
              </a:outerShdw>
            </a:effectLst>
            <a:latin typeface="Arial Black" panose="020B0A040201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ashi Sharma" refreshedDate="46175.539019444448" createdVersion="8" refreshedVersion="8" minRefreshableVersion="3" recordCount="86" xr:uid="{66E332C2-B675-44CB-9A12-556121097E8E}">
  <cacheSource type="worksheet">
    <worksheetSource ref="A1:X87" sheet="DATA"/>
  </cacheSource>
  <cacheFields count="24">
    <cacheField name="User ID" numFmtId="0">
      <sharedItems containsString="0" containsBlank="1" containsNumber="1" containsInteger="1" minValue="1043" maxValue="9792" count="86">
        <n v="4612"/>
        <n v="9786"/>
        <n v="3665"/>
        <n v="1917"/>
        <n v="8020"/>
        <n v="1189"/>
        <n v="9318"/>
        <n v="2134"/>
        <n v="8398"/>
        <n v="3168"/>
        <n v="4873"/>
        <n v="4854"/>
        <n v="2189"/>
        <n v="9667"/>
        <n v="7050"/>
        <n v="3533"/>
        <n v="4645"/>
        <n v="4229"/>
        <n v="3852"/>
        <n v="2390"/>
        <n v="7292"/>
        <n v="8613"/>
        <n v="9541"/>
        <n v="4389"/>
        <n v="5472"/>
        <n v="3978"/>
        <n v="2125"/>
        <n v="2877"/>
        <n v="2984"/>
        <n v="3886"/>
        <n v="7210"/>
        <n v="4938"/>
        <n v="5439"/>
        <n v="1842"/>
        <n v="9562"/>
        <n v="3565"/>
        <n v="8079"/>
        <n v="5136"/>
        <n v="8179"/>
        <n v="9338"/>
        <n v="1043"/>
        <n v="6214"/>
        <n v="7718"/>
        <n v="3386"/>
        <n v="5713"/>
        <n v="5838"/>
        <n v="3241"/>
        <n v="9792"/>
        <n v="5952"/>
        <n v="3532"/>
        <n v="6877"/>
        <n v="4395"/>
        <n v="6305"/>
        <n v="9544"/>
        <n v="6328"/>
        <n v="2558"/>
        <n v="3003"/>
        <n v="4706"/>
        <n v="1503"/>
        <n v="1308"/>
        <n v="8139"/>
        <n v="3420"/>
        <n v="2480"/>
        <n v="7334"/>
        <n v="3094"/>
        <n v="9627"/>
        <n v="8356"/>
        <n v="5097"/>
        <n v="6728"/>
        <n v="3274"/>
        <n v="2030"/>
        <n v="9313"/>
        <n v="6081"/>
        <n v="6555"/>
        <n v="7982"/>
        <n v="8180"/>
        <n v="5567"/>
        <n v="2439"/>
        <n v="9095"/>
        <n v="2216"/>
        <n v="4695"/>
        <n v="6532"/>
        <n v="7654"/>
        <n v="8643"/>
        <n v="8649"/>
        <m/>
      </sharedItems>
    </cacheField>
    <cacheField name="First Name" numFmtId="0">
      <sharedItems containsBlank="1"/>
    </cacheField>
    <cacheField name="Last Name" numFmtId="0">
      <sharedItems containsBlank="1"/>
    </cacheField>
    <cacheField name="email" numFmtId="0">
      <sharedItems containsBlank="1"/>
    </cacheField>
    <cacheField name="Stock Name" numFmtId="0">
      <sharedItems containsBlank="1" count="31">
        <s v="Bajaj Finance"/>
        <s v="Infosys "/>
        <s v="Axis Bank"/>
        <s v="Tech Mahindra"/>
        <s v="Dr Reddy's"/>
        <s v="Power Grid"/>
        <s v="ICICI Bank"/>
        <s v="Adani Ports"/>
        <s v="SBI "/>
        <s v="JSW Steel"/>
        <s v="Nestle India"/>
        <s v="Divi's Labs"/>
        <s v="Coal India"/>
        <s v="Maruti Suzuki"/>
        <s v="Cipla "/>
        <s v="Sun Pharma"/>
        <s v="Tata Steel"/>
        <s v="Reliance Industries"/>
        <s v="NTPC "/>
        <s v="HDFC Bank"/>
        <s v="Britannia "/>
        <s v="Hindustan Unilever"/>
        <s v="Asian Paints"/>
        <s v="HCL Technologies"/>
        <s v="Larsen &amp; Toubro"/>
        <s v="Wipro "/>
        <s v="Titan Company"/>
        <s v="Tata Motors"/>
        <s v="UltraTech Cement"/>
        <s v="TCS "/>
        <m/>
      </sharedItems>
    </cacheField>
    <cacheField name="Sector" numFmtId="0">
      <sharedItems containsBlank="1" count="9">
        <s v="Finance"/>
        <s v="IT"/>
        <s v="Pharma"/>
        <s v="Energy"/>
        <s v="Infrastructure"/>
        <s v="Metal"/>
        <s v="Consumer"/>
        <s v="Auto"/>
        <m/>
      </sharedItems>
    </cacheField>
    <cacheField name="Exchange" numFmtId="0">
      <sharedItems containsBlank="1" count="3">
        <s v="NSE"/>
        <s v="BSE"/>
        <m/>
      </sharedItems>
    </cacheField>
    <cacheField name="Payment Mode" numFmtId="0">
      <sharedItems containsBlank="1" count="6">
        <s v="UPI"/>
        <s v="Demat Transfer"/>
        <s v="Net Banking"/>
        <s v="Cheque"/>
        <s v="Unidentified "/>
        <m/>
      </sharedItems>
    </cacheField>
    <cacheField name="Buy Date" numFmtId="0">
      <sharedItems containsNonDate="0" containsDate="1" containsString="0" containsBlank="1" minDate="2020-02-22T00:00:00" maxDate="2024-12-04T00:00:00"/>
    </cacheField>
    <cacheField name="Buy Price (₹)" numFmtId="0">
      <sharedItems containsString="0" containsBlank="1" containsNumber="1" minValue="281.72000000000003" maxValue="4493.92"/>
    </cacheField>
    <cacheField name="No. of Shares" numFmtId="0">
      <sharedItems containsString="0" containsBlank="1" containsNumber="1" containsInteger="1" minValue="5" maxValue="197"/>
    </cacheField>
    <cacheField name="Brokerage Paid (₹)" numFmtId="0">
      <sharedItems containsString="0" containsBlank="1" containsNumber="1" minValue="10.4" maxValue="149.43"/>
    </cacheField>
    <cacheField name="Total Purchase Price" numFmtId="0">
      <sharedItems containsSemiMixedTypes="0" containsString="0" containsNumber="1" minValue="11542.4" maxValue="26580457.840000015"/>
    </cacheField>
    <cacheField name="Current Price (₹)" numFmtId="0">
      <sharedItems containsString="0" containsBlank="1" containsNumber="1" minValue="272.20999999999998" maxValue="6685.58"/>
    </cacheField>
    <cacheField name="Total Current Value" numFmtId="0">
      <sharedItems containsSemiMixedTypes="0" containsString="0" containsNumber="1" minValue="10073.099999999999" maxValue="29706549.489999998"/>
    </cacheField>
    <cacheField name="Profit/ Loss" numFmtId="0">
      <sharedItems containsString="0" containsBlank="1" containsNumber="1" minValue="-174407.40000000002" maxValue="372015.14999999991"/>
    </cacheField>
    <cacheField name="Return (%)" numFmtId="0">
      <sharedItems containsString="0" containsBlank="1" containsNumber="1" minValue="-25.677827790630779" maxValue="54.888228357493176"/>
    </cacheField>
    <cacheField name="Dividend %" numFmtId="0">
      <sharedItems containsString="0" containsBlank="1" containsNumber="1" minValue="0.51" maxValue="4.93"/>
    </cacheField>
    <cacheField name="Dividend Received" numFmtId="0">
      <sharedItems containsString="0" containsBlank="1" containsNumber="1" minValue="264.92252999999994" maxValue="44848.753949999998"/>
    </cacheField>
    <cacheField name="52-Week High" numFmtId="0">
      <sharedItems containsString="0" containsBlank="1" containsNumber="1" minValue="338.42" maxValue="7521.76"/>
    </cacheField>
    <cacheField name="52-Week Low" numFmtId="0">
      <sharedItems containsString="0" containsBlank="1" containsNumber="1" minValue="218.49" maxValue="3953.11"/>
    </cacheField>
    <cacheField name="Status" numFmtId="0">
      <sharedItems containsBlank="1" count="4">
        <s v="Sold"/>
        <s v="Hold"/>
        <s v="Watch"/>
        <m/>
      </sharedItems>
    </cacheField>
    <cacheField name="Portfolio Weight (%)" numFmtId="0">
      <sharedItems containsString="0" containsBlank="1" containsNumber="1" minValue="4.3424383693761059E-2" maxValue="3.0574325126071629"/>
    </cacheField>
    <cacheField name="numb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ashi Sharma" refreshedDate="46175.958826967595" createdVersion="8" refreshedVersion="8" minRefreshableVersion="3" recordCount="85" xr:uid="{CA8653DF-2140-40DE-9A1E-A79B5B4E9DE9}">
  <cacheSource type="worksheet">
    <worksheetSource ref="A1:X86" sheet="DATA"/>
  </cacheSource>
  <cacheFields count="24">
    <cacheField name="User ID" numFmtId="0">
      <sharedItems containsSemiMixedTypes="0" containsString="0" containsNumber="1" containsInteger="1" minValue="1043" maxValue="9792"/>
    </cacheField>
    <cacheField name="First Name" numFmtId="0">
      <sharedItems count="28">
        <s v="Kiran"/>
        <s v="Rohan"/>
        <s v="Vikram"/>
        <s v="Ananya"/>
        <s v="Tanvi"/>
        <s v="Deepak"/>
        <s v="Raj"/>
        <s v="Gaurav"/>
        <s v="Mohit"/>
        <s v="Neha"/>
        <s v="Amit"/>
        <s v="Aarav"/>
        <s v="Sanjay"/>
        <s v="Simran"/>
        <s v="Priya"/>
        <s v="Divya"/>
        <s v="Meera"/>
        <s v="Shruti"/>
        <s v="Suresh"/>
        <s v="Vivaan"/>
        <s v="Riya"/>
        <s v="Rahul"/>
        <s v="Nitin"/>
        <s v="Pooja"/>
        <s v="Kavya"/>
        <s v="Harish"/>
        <s v="Aditya"/>
        <s v="Sneha"/>
      </sharedItems>
    </cacheField>
    <cacheField name="Last Name" numFmtId="0">
      <sharedItems/>
    </cacheField>
    <cacheField name="email" numFmtId="0">
      <sharedItems/>
    </cacheField>
    <cacheField name="Stock Name" numFmtId="0">
      <sharedItems count="30">
        <s v="Bajaj Finance"/>
        <s v="Infosys "/>
        <s v="Axis Bank"/>
        <s v="Tech Mahindra"/>
        <s v="Dr Reddy's"/>
        <s v="Power Grid"/>
        <s v="ICICI Bank"/>
        <s v="Adani Ports"/>
        <s v="SBI "/>
        <s v="JSW Steel"/>
        <s v="Nestle India"/>
        <s v="Divi's Labs"/>
        <s v="Coal India"/>
        <s v="Maruti Suzuki"/>
        <s v="Cipla "/>
        <s v="Sun Pharma"/>
        <s v="Tata Steel"/>
        <s v="Reliance Industries"/>
        <s v="NTPC "/>
        <s v="HDFC Bank"/>
        <s v="Britannia "/>
        <s v="Hindustan Unilever"/>
        <s v="Asian Paints"/>
        <s v="HCL Technologies"/>
        <s v="Larsen &amp; Toubro"/>
        <s v="Wipro "/>
        <s v="Titan Company"/>
        <s v="Tata Motors"/>
        <s v="UltraTech Cement"/>
        <s v="TCS "/>
      </sharedItems>
    </cacheField>
    <cacheField name="Sector" numFmtId="0">
      <sharedItems count="8">
        <s v="Finance"/>
        <s v="IT"/>
        <s v="Pharma"/>
        <s v="Energy"/>
        <s v="Infrastructure"/>
        <s v="Metal"/>
        <s v="Consumer"/>
        <s v="Auto"/>
      </sharedItems>
    </cacheField>
    <cacheField name="Exchange" numFmtId="0">
      <sharedItems count="2">
        <s v="NSE"/>
        <s v="BSE"/>
      </sharedItems>
    </cacheField>
    <cacheField name="Payment Mode" numFmtId="0">
      <sharedItems count="5">
        <s v="UPI"/>
        <s v="Demat Transfer"/>
        <s v="Net Banking"/>
        <s v="Cheque"/>
        <s v="Unidentified "/>
      </sharedItems>
    </cacheField>
    <cacheField name="Buy Date" numFmtId="14">
      <sharedItems containsSemiMixedTypes="0" containsNonDate="0" containsDate="1" containsString="0" minDate="2020-02-22T00:00:00" maxDate="2024-12-04T00:00:00" count="83">
        <d v="2024-04-03T00:00:00"/>
        <d v="2024-08-25T00:00:00"/>
        <d v="2023-12-08T00:00:00"/>
        <d v="2022-04-01T00:00:00"/>
        <d v="2021-03-25T00:00:00"/>
        <d v="2024-04-23T00:00:00"/>
        <d v="2024-04-10T00:00:00"/>
        <d v="2020-09-19T00:00:00"/>
        <d v="2021-11-23T00:00:00"/>
        <d v="2021-05-12T00:00:00"/>
        <d v="2021-03-13T00:00:00"/>
        <d v="2023-03-31T00:00:00"/>
        <d v="2020-05-30T00:00:00"/>
        <d v="2024-12-03T00:00:00"/>
        <d v="2020-09-18T00:00:00"/>
        <d v="2024-06-26T00:00:00"/>
        <d v="2024-08-07T00:00:00"/>
        <d v="2023-06-30T00:00:00"/>
        <d v="2023-01-27T00:00:00"/>
        <d v="2020-07-10T00:00:00"/>
        <d v="2023-09-05T00:00:00"/>
        <d v="2024-03-26T00:00:00"/>
        <d v="2020-06-07T00:00:00"/>
        <d v="2024-10-20T00:00:00"/>
        <d v="2021-11-19T00:00:00"/>
        <d v="2021-03-09T00:00:00"/>
        <d v="2021-05-21T00:00:00"/>
        <d v="2021-12-12T00:00:00"/>
        <d v="2023-06-15T00:00:00"/>
        <d v="2021-01-07T00:00:00"/>
        <d v="2022-07-06T00:00:00"/>
        <d v="2024-01-17T00:00:00"/>
        <d v="2022-03-31T00:00:00"/>
        <d v="2021-08-31T00:00:00"/>
        <d v="2021-08-19T00:00:00"/>
        <d v="2020-02-22T00:00:00"/>
        <d v="2024-11-06T00:00:00"/>
        <d v="2023-07-14T00:00:00"/>
        <d v="2022-08-25T00:00:00"/>
        <d v="2024-11-07T00:00:00"/>
        <d v="2022-03-01T00:00:00"/>
        <d v="2024-05-19T00:00:00"/>
        <d v="2020-12-14T00:00:00"/>
        <d v="2022-06-23T00:00:00"/>
        <d v="2023-03-05T00:00:00"/>
        <d v="2021-09-24T00:00:00"/>
        <d v="2023-04-12T00:00:00"/>
        <d v="2020-04-02T00:00:00"/>
        <d v="2024-09-03T00:00:00"/>
        <d v="2020-09-07T00:00:00"/>
        <d v="2021-11-03T00:00:00"/>
        <d v="2020-09-16T00:00:00"/>
        <d v="2020-05-04T00:00:00"/>
        <d v="2022-07-18T00:00:00"/>
        <d v="2022-02-05T00:00:00"/>
        <d v="2024-11-12T00:00:00"/>
        <d v="2023-06-01T00:00:00"/>
        <d v="2022-05-09T00:00:00"/>
        <d v="2023-03-25T00:00:00"/>
        <d v="2022-03-21T00:00:00"/>
        <d v="2021-02-08T00:00:00"/>
        <d v="2022-08-05T00:00:00"/>
        <d v="2021-11-13T00:00:00"/>
        <d v="2022-11-07T00:00:00"/>
        <d v="2023-05-08T00:00:00"/>
        <d v="2024-07-14T00:00:00"/>
        <d v="2023-02-09T00:00:00"/>
        <d v="2022-03-22T00:00:00"/>
        <d v="2020-06-11T00:00:00"/>
        <d v="2023-07-18T00:00:00"/>
        <d v="2022-03-10T00:00:00"/>
        <d v="2021-06-02T00:00:00"/>
        <d v="2022-01-22T00:00:00"/>
        <d v="2020-03-27T00:00:00"/>
        <d v="2024-05-13T00:00:00"/>
        <d v="2022-10-19T00:00:00"/>
        <d v="2023-12-24T00:00:00"/>
        <d v="2022-08-15T00:00:00"/>
        <d v="2024-09-28T00:00:00"/>
        <d v="2020-06-15T00:00:00"/>
        <d v="2020-11-19T00:00:00"/>
        <d v="2020-10-15T00:00:00"/>
        <d v="2020-07-03T00:00:00"/>
      </sharedItems>
    </cacheField>
    <cacheField name="Buy Price (₹)" numFmtId="0">
      <sharedItems containsSemiMixedTypes="0" containsString="0" containsNumber="1" minValue="281.72000000000003" maxValue="4493.92"/>
    </cacheField>
    <cacheField name="No. of Shares" numFmtId="0">
      <sharedItems containsSemiMixedTypes="0" containsString="0" containsNumber="1" containsInteger="1" minValue="5" maxValue="197"/>
    </cacheField>
    <cacheField name="Brokerage Paid (₹)" numFmtId="0">
      <sharedItems containsSemiMixedTypes="0" containsString="0" containsNumber="1" minValue="10.4" maxValue="149.43"/>
    </cacheField>
    <cacheField name="Total Purchase Price" numFmtId="0">
      <sharedItems containsSemiMixedTypes="0" containsString="0" containsNumber="1" minValue="11542.4" maxValue="812679.56"/>
    </cacheField>
    <cacheField name="Current Price (₹)" numFmtId="0">
      <sharedItems containsSemiMixedTypes="0" containsString="0" containsNumber="1" minValue="272.20999999999998" maxValue="6685.58"/>
    </cacheField>
    <cacheField name="Total Current Value" numFmtId="0">
      <sharedItems containsSemiMixedTypes="0" containsString="0" containsNumber="1" minValue="10073.099999999999" maxValue="1164902.7"/>
    </cacheField>
    <cacheField name="Profit/ Loss" numFmtId="0">
      <sharedItems containsSemiMixedTypes="0" containsString="0" containsNumber="1" minValue="-174407.40000000002" maxValue="372015.14999999991"/>
    </cacheField>
    <cacheField name="Return (%)" numFmtId="0">
      <sharedItems containsSemiMixedTypes="0" containsString="0" containsNumber="1" minValue="-25.677827790630779" maxValue="54.888228357493176"/>
    </cacheField>
    <cacheField name="Dividend %" numFmtId="0">
      <sharedItems containsSemiMixedTypes="0" containsString="0" containsNumber="1" minValue="0.51" maxValue="4.93"/>
    </cacheField>
    <cacheField name="Dividend Received" numFmtId="0">
      <sharedItems containsSemiMixedTypes="0" containsString="0" containsNumber="1" minValue="264.92252999999994" maxValue="44848.753949999998"/>
    </cacheField>
    <cacheField name="52-Week High" numFmtId="0">
      <sharedItems containsSemiMixedTypes="0" containsString="0" containsNumber="1" minValue="338.42" maxValue="7521.76"/>
    </cacheField>
    <cacheField name="52-Week Low" numFmtId="0">
      <sharedItems containsSemiMixedTypes="0" containsString="0" containsNumber="1" minValue="218.49" maxValue="3953.11"/>
    </cacheField>
    <cacheField name="Status" numFmtId="0">
      <sharedItems count="3">
        <s v="Sold"/>
        <s v="Hold"/>
        <s v="Watch"/>
      </sharedItems>
    </cacheField>
    <cacheField name="Portfolio Weight (%)" numFmtId="0">
      <sharedItems containsSemiMixedTypes="0" containsString="0" containsNumber="1" minValue="4.3424383693761059E-2" maxValue="3.0574325126071629"/>
    </cacheField>
    <cacheField name="number" numFmtId="0">
      <sharedItems/>
    </cacheField>
  </cacheFields>
  <extLst>
    <ext xmlns:x14="http://schemas.microsoft.com/office/spreadsheetml/2009/9/main" uri="{725AE2AE-9491-48be-B2B4-4EB974FC3084}">
      <x14:pivotCacheDefinition pivotCacheId="1484088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s v="Kiran"/>
    <s v="Tiwari"/>
    <s v="tiwari.kiran46@gmail.com"/>
    <x v="0"/>
    <x v="0"/>
    <x v="0"/>
    <x v="0"/>
    <d v="2024-04-03T00:00:00"/>
    <n v="3665.02"/>
    <n v="183"/>
    <n v="69.17"/>
    <n v="683356.77"/>
    <n v="3614.41"/>
    <n v="661437.03"/>
    <n v="-21919.739999999991"/>
    <n v="-3.2076568144631086"/>
    <n v="1.47"/>
    <n v="9723.1243410000006"/>
    <n v="4381.91"/>
    <n v="2795.78"/>
    <x v="0"/>
    <n v="2.5708991700347612"/>
    <s v="46"/>
  </r>
  <r>
    <x v="1"/>
    <s v="Rohan"/>
    <s v="Reddy"/>
    <s v="reddy.rohan97@gmail.com"/>
    <x v="1"/>
    <x v="1"/>
    <x v="0"/>
    <x v="1"/>
    <d v="2024-08-25T00:00:00"/>
    <n v="2903.15"/>
    <n v="97"/>
    <n v="90.83"/>
    <n v="290416.06"/>
    <n v="3916.02"/>
    <n v="379853.94"/>
    <n v="89437.88"/>
    <n v="30.796464906245202"/>
    <n v="0.71"/>
    <n v="2696.962974"/>
    <n v="4199.6000000000004"/>
    <n v="2370.59"/>
    <x v="1"/>
    <n v="1.0925923915537785"/>
    <s v="97"/>
  </r>
  <r>
    <x v="2"/>
    <s v="Vikram"/>
    <s v="Pillai"/>
    <s v="pillai.vikram36@gmail.com"/>
    <x v="2"/>
    <x v="0"/>
    <x v="0"/>
    <x v="1"/>
    <d v="2023-12-08T00:00:00"/>
    <n v="4227.6099999999997"/>
    <n v="170"/>
    <n v="20"/>
    <n v="722093.7"/>
    <n v="5452.48"/>
    <n v="926921.6"/>
    <n v="204827.90000000002"/>
    <n v="28.365833963099252"/>
    <n v="2.9"/>
    <n v="26880.726399999996"/>
    <n v="5868.54"/>
    <n v="3620.19"/>
    <x v="1"/>
    <n v="2.7166337929414675"/>
    <s v="36"/>
  </r>
  <r>
    <x v="3"/>
    <s v="Ananya"/>
    <s v="Verma"/>
    <s v="verma.ananya19@gmail.com"/>
    <x v="3"/>
    <x v="1"/>
    <x v="0"/>
    <x v="1"/>
    <d v="2022-04-01T00:00:00"/>
    <n v="1351.29"/>
    <n v="59"/>
    <n v="137.84"/>
    <n v="87858.67"/>
    <n v="1664.93"/>
    <n v="98230.87000000001"/>
    <n v="10372.200000000012"/>
    <n v="11.805550892131661"/>
    <n v="3.73"/>
    <n v="3664.0114510000003"/>
    <n v="1779.65"/>
    <n v="1168.6300000000001"/>
    <x v="0"/>
    <n v="0.3305385878936386"/>
    <s v="19"/>
  </r>
  <r>
    <x v="4"/>
    <s v="Tanvi"/>
    <s v="Tiwari"/>
    <s v="tiwari.tanvi80@gmail.com"/>
    <x v="4"/>
    <x v="2"/>
    <x v="0"/>
    <x v="1"/>
    <d v="2021-03-25T00:00:00"/>
    <n v="4488.5"/>
    <n v="40"/>
    <n v="81.33"/>
    <n v="182793.2"/>
    <n v="3713.21"/>
    <n v="148528.4"/>
    <n v="-34264.800000000017"/>
    <n v="-18.74511743325245"/>
    <n v="0.71"/>
    <n v="1054.5516399999999"/>
    <n v="4691.47"/>
    <n v="3320.77"/>
    <x v="0"/>
    <n v="0.68769771047705897"/>
    <s v="80"/>
  </r>
  <r>
    <x v="5"/>
    <s v="Deepak"/>
    <s v="Patel"/>
    <s v="patel.deepak11@gmail.com"/>
    <x v="5"/>
    <x v="3"/>
    <x v="1"/>
    <x v="1"/>
    <d v="2024-04-23T00:00:00"/>
    <n v="2956.14"/>
    <n v="33"/>
    <n v="51.09"/>
    <n v="99238.59"/>
    <n v="2614.5100000000002"/>
    <n v="86278.83"/>
    <n v="-12959.759999999995"/>
    <n v="-13.059194009104719"/>
    <n v="0.51"/>
    <n v="440.02203300000002"/>
    <n v="3506.22"/>
    <n v="2393.65"/>
    <x v="2"/>
    <n v="0.37335169543490432"/>
    <s v="11"/>
  </r>
  <r>
    <x v="6"/>
    <s v="Raj"/>
    <s v="Joshi"/>
    <s v="joshi.raj93@gmail.com"/>
    <x v="6"/>
    <x v="0"/>
    <x v="0"/>
    <x v="1"/>
    <d v="2024-04-10T00:00:00"/>
    <n v="894.66"/>
    <n v="140"/>
    <n v="138.59"/>
    <n v="144655"/>
    <n v="1126.47"/>
    <n v="157705.80000000002"/>
    <n v="13050.800000000017"/>
    <n v="9.0220179046697435"/>
    <n v="2.7"/>
    <n v="4258.0566000000008"/>
    <n v="1177.98"/>
    <n v="745.69"/>
    <x v="1"/>
    <n v="0.54421560708526873"/>
    <s v="93"/>
  </r>
  <r>
    <x v="7"/>
    <s v="Gaurav"/>
    <s v="Mishra"/>
    <s v="mishra.gaurav21@gmail.com"/>
    <x v="7"/>
    <x v="4"/>
    <x v="1"/>
    <x v="2"/>
    <d v="2020-09-19T00:00:00"/>
    <n v="3036.93"/>
    <n v="145"/>
    <n v="33.119999999999997"/>
    <n v="445157.25"/>
    <n v="3639.83"/>
    <n v="527775.35"/>
    <n v="82618.099999999977"/>
    <n v="18.559306851679935"/>
    <n v="3.23"/>
    <n v="17047.143805"/>
    <n v="4519.95"/>
    <n v="2926.54"/>
    <x v="1"/>
    <n v="1.6747538837728302"/>
    <s v="21"/>
  </r>
  <r>
    <x v="8"/>
    <s v="Rohan"/>
    <s v="Rao"/>
    <s v="rao.rohan83@gmail.com"/>
    <x v="8"/>
    <x v="0"/>
    <x v="1"/>
    <x v="0"/>
    <d v="2021-11-23T00:00:00"/>
    <n v="290.45"/>
    <n v="146"/>
    <n v="42.22"/>
    <n v="48569.82"/>
    <n v="272.20999999999998"/>
    <n v="39742.659999999996"/>
    <n v="-8827.1600000000035"/>
    <n v="-18.174166591517128"/>
    <n v="0.82"/>
    <n v="325.88981199999995"/>
    <n v="338.42"/>
    <n v="218.49"/>
    <x v="1"/>
    <n v="0.1827275522956153"/>
    <s v="83"/>
  </r>
  <r>
    <x v="9"/>
    <s v="Mohit"/>
    <s v="Tiwari"/>
    <s v="tiwari.mohit31@gmail.com"/>
    <x v="9"/>
    <x v="5"/>
    <x v="0"/>
    <x v="3"/>
    <d v="2021-05-12T00:00:00"/>
    <n v="3573.86"/>
    <n v="109"/>
    <n v="36.659999999999997"/>
    <n v="393546.68"/>
    <n v="2974.85"/>
    <n v="324258.64999999997"/>
    <n v="-69288.030000000028"/>
    <n v="-17.606051205920483"/>
    <n v="2.44"/>
    <n v="7911.9110599999995"/>
    <n v="3993.51"/>
    <n v="2550.6799999999998"/>
    <x v="1"/>
    <n v="1.4805865360519306"/>
    <s v="31"/>
  </r>
  <r>
    <x v="10"/>
    <s v="Neha"/>
    <s v="Chopra"/>
    <s v="chopra.neha48@gmail.com"/>
    <x v="10"/>
    <x v="6"/>
    <x v="0"/>
    <x v="3"/>
    <d v="2021-03-13T00:00:00"/>
    <n v="3918"/>
    <n v="20"/>
    <n v="33.049999999999997"/>
    <n v="79021"/>
    <n v="2945.68"/>
    <n v="58913.599999999999"/>
    <n v="-20107.400000000001"/>
    <n v="-25.445641032130702"/>
    <n v="2.2599999999999998"/>
    <n v="1331.4473599999997"/>
    <n v="4831.28"/>
    <n v="2741.19"/>
    <x v="1"/>
    <n v="0.29728983780363644"/>
    <s v="48"/>
  </r>
  <r>
    <x v="11"/>
    <s v="Amit"/>
    <s v="Patel"/>
    <s v="patel.amit48@gmail.com"/>
    <x v="11"/>
    <x v="2"/>
    <x v="1"/>
    <x v="2"/>
    <d v="2023-03-31T00:00:00"/>
    <n v="2756.43"/>
    <n v="163"/>
    <n v="21.48"/>
    <n v="452799.32999999996"/>
    <n v="3607.53"/>
    <n v="588027.39"/>
    <n v="135228.06000000006"/>
    <n v="29.864898430834707"/>
    <n v="3.04"/>
    <n v="17876.032655999999"/>
    <n v="3942.18"/>
    <n v="2232.64"/>
    <x v="1"/>
    <n v="1.7035046300767545"/>
    <s v="48"/>
  </r>
  <r>
    <x v="12"/>
    <s v="Aarav"/>
    <s v="Malhotra"/>
    <s v="malhotra.aarav21@gmail.com"/>
    <x v="12"/>
    <x v="3"/>
    <x v="1"/>
    <x v="0"/>
    <d v="2020-05-30T00:00:00"/>
    <n v="2511.83"/>
    <n v="134"/>
    <n v="47.13"/>
    <n v="342900.63999999996"/>
    <n v="3876.43"/>
    <n v="519441.62"/>
    <n v="176540.98000000004"/>
    <n v="51.484587488667287"/>
    <n v="4.46"/>
    <n v="23167.096252000003"/>
    <n v="4737.8999999999996"/>
    <n v="2097.36"/>
    <x v="1"/>
    <n v="1.2900479068647968"/>
    <s v="21"/>
  </r>
  <r>
    <x v="13"/>
    <s v="Aarav"/>
    <s v="Mishra"/>
    <s v="mishra.aarav96@gmail.com"/>
    <x v="13"/>
    <x v="7"/>
    <x v="0"/>
    <x v="0"/>
    <d v="2024-12-03T00:00:00"/>
    <n v="777.45"/>
    <n v="34"/>
    <n v="134.56"/>
    <n v="31008.340000000004"/>
    <n v="1073.7"/>
    <n v="36505.800000000003"/>
    <n v="5497.4599999999991"/>
    <n v="17.728972270040895"/>
    <n v="1.2"/>
    <n v="438.06959999999998"/>
    <n v="1164.75"/>
    <n v="620.75"/>
    <x v="1"/>
    <n v="0.11665841193049964"/>
    <s v="96"/>
  </r>
  <r>
    <x v="14"/>
    <s v="Sanjay"/>
    <s v="Mishra"/>
    <s v="mishra.sanjay70@gmail.com"/>
    <x v="6"/>
    <x v="0"/>
    <x v="0"/>
    <x v="3"/>
    <d v="2020-09-18T00:00:00"/>
    <n v="379.86"/>
    <n v="98"/>
    <n v="135.86000000000001"/>
    <n v="50540.56"/>
    <n v="541.95000000000005"/>
    <n v="53111.100000000006"/>
    <n v="2570.5400000000081"/>
    <n v="5.0860932288839065"/>
    <n v="4.37"/>
    <n v="2320.9550700000004"/>
    <n v="664.84"/>
    <n v="303.25"/>
    <x v="1"/>
    <n v="0.19014179629345304"/>
    <s v="70"/>
  </r>
  <r>
    <x v="15"/>
    <s v="Simran"/>
    <s v="Rao"/>
    <s v="rao.simran35@gmail.com"/>
    <x v="14"/>
    <x v="2"/>
    <x v="0"/>
    <x v="2"/>
    <d v="2024-06-26T00:00:00"/>
    <n v="3686.32"/>
    <n v="110"/>
    <n v="13.47"/>
    <n v="406976.9"/>
    <n v="5072.67"/>
    <n v="557993.69999999995"/>
    <n v="151016.79999999993"/>
    <n v="37.106970936188247"/>
    <n v="1.99"/>
    <n v="11104.074629999999"/>
    <n v="6260.12"/>
    <n v="3444.92"/>
    <x v="1"/>
    <n v="1.5311132052343903"/>
    <s v="35"/>
  </r>
  <r>
    <x v="16"/>
    <s v="Priya"/>
    <s v="Malhotra"/>
    <s v="malhotra.priya46@gmail.com"/>
    <x v="15"/>
    <x v="2"/>
    <x v="0"/>
    <x v="1"/>
    <d v="2024-08-07T00:00:00"/>
    <n v="3619.99"/>
    <n v="63"/>
    <n v="41.21"/>
    <n v="230655.6"/>
    <n v="4745.91"/>
    <n v="298992.33"/>
    <n v="68336.73000000001"/>
    <n v="29.627171419206821"/>
    <n v="2.29"/>
    <n v="6846.9243569999999"/>
    <n v="5144.9399999999996"/>
    <n v="2772.79"/>
    <x v="1"/>
    <n v="0.86776383382266031"/>
    <s v="46"/>
  </r>
  <r>
    <x v="17"/>
    <s v="Vikram"/>
    <s v="Chopra"/>
    <s v="chopra.vikram42@gmail.com"/>
    <x v="1"/>
    <x v="1"/>
    <x v="0"/>
    <x v="1"/>
    <d v="2023-06-30T00:00:00"/>
    <n v="1549.84"/>
    <n v="36"/>
    <n v="110.77"/>
    <n v="59781.96"/>
    <n v="1558.01"/>
    <n v="56088.36"/>
    <n v="-3693.5999999999985"/>
    <n v="-6.178452496371813"/>
    <n v="1.89"/>
    <n v="1060.0700039999999"/>
    <n v="1735.51"/>
    <n v="1305.82"/>
    <x v="1"/>
    <n v="0.22490944422347831"/>
    <s v="42"/>
  </r>
  <r>
    <x v="18"/>
    <s v="Raj"/>
    <s v="Tiwari"/>
    <s v="tiwari.raj38@gmail.com"/>
    <x v="13"/>
    <x v="7"/>
    <x v="0"/>
    <x v="3"/>
    <d v="2023-01-27T00:00:00"/>
    <n v="3785.02"/>
    <n v="82"/>
    <n v="50.17"/>
    <n v="314485.58"/>
    <n v="4221.83"/>
    <n v="346190.06"/>
    <n v="31704.479999999981"/>
    <n v="10.081377976058546"/>
    <n v="3.11"/>
    <n v="10766.510866000001"/>
    <n v="4942"/>
    <n v="3243.56"/>
    <x v="0"/>
    <n v="1.1831458355346367"/>
    <s v="38"/>
  </r>
  <r>
    <x v="19"/>
    <s v="Divya"/>
    <s v="Pandey"/>
    <s v="pandey.divya23@gmail.com"/>
    <x v="5"/>
    <x v="3"/>
    <x v="1"/>
    <x v="1"/>
    <d v="2020-07-10T00:00:00"/>
    <n v="3719.22"/>
    <n v="197"/>
    <n v="42.88"/>
    <n v="741133.7"/>
    <n v="3770.76"/>
    <n v="742839.72000000009"/>
    <n v="1706.020000000135"/>
    <n v="0.2301905850456045"/>
    <n v="4.13"/>
    <n v="30679.280436000005"/>
    <n v="3973.97"/>
    <n v="2828.95"/>
    <x v="0"/>
    <n v="2.7882653657104939"/>
    <s v="23"/>
  </r>
  <r>
    <x v="20"/>
    <s v="Meera"/>
    <s v="Reddy"/>
    <s v="reddy.meera72@gmail.com"/>
    <x v="8"/>
    <x v="0"/>
    <x v="1"/>
    <x v="2"/>
    <d v="2023-09-05T00:00:00"/>
    <n v="3156.78"/>
    <n v="197"/>
    <n v="130.46"/>
    <n v="647586.28"/>
    <n v="4743.5200000000004"/>
    <n v="934473.44000000006"/>
    <n v="286887.16000000003"/>
    <n v="44.300994147065623"/>
    <n v="4"/>
    <n v="37378.937600000005"/>
    <n v="5077.1499999999996"/>
    <n v="2951.42"/>
    <x v="2"/>
    <n v="2.4363247762627691"/>
    <s v="72"/>
  </r>
  <r>
    <x v="21"/>
    <s v="Deepak"/>
    <s v="Pandey"/>
    <s v="pandey.deepak86@gmail.com"/>
    <x v="16"/>
    <x v="5"/>
    <x v="1"/>
    <x v="1"/>
    <d v="2024-03-26T00:00:00"/>
    <n v="4033.13"/>
    <n v="161"/>
    <n v="124.1"/>
    <n v="669314.03"/>
    <n v="6082.84"/>
    <n v="979337.24"/>
    <n v="310023.20999999996"/>
    <n v="46.319544504393548"/>
    <n v="2.42"/>
    <n v="23699.961207999997"/>
    <n v="7473.23"/>
    <n v="3438.49"/>
    <x v="1"/>
    <n v="2.5180681011174024"/>
    <s v="86"/>
  </r>
  <r>
    <x v="22"/>
    <s v="Meera"/>
    <s v="Rao"/>
    <s v="rao.meera95@gmail.com"/>
    <x v="0"/>
    <x v="0"/>
    <x v="0"/>
    <x v="3"/>
    <d v="2020-06-07T00:00:00"/>
    <n v="3268.24"/>
    <n v="65"/>
    <n v="48.04"/>
    <n v="215558.19999999998"/>
    <n v="3339.33"/>
    <n v="217056.44999999998"/>
    <n v="1498.25"/>
    <n v="0.69505590601517375"/>
    <n v="2.93"/>
    <n v="6359.7539850000003"/>
    <n v="3512.39"/>
    <n v="2625.02"/>
    <x v="1"/>
    <n v="0.81096496267123697"/>
    <s v="95"/>
  </r>
  <r>
    <x v="23"/>
    <s v="Shruti"/>
    <s v="Chopra"/>
    <s v="chopra.shruti43@gmail.com"/>
    <x v="4"/>
    <x v="2"/>
    <x v="0"/>
    <x v="0"/>
    <d v="2024-10-20T00:00:00"/>
    <n v="3986.82"/>
    <n v="152"/>
    <n v="63.25"/>
    <n v="615610.64"/>
    <n v="3010.1"/>
    <n v="457535.2"/>
    <n v="-158075.44"/>
    <n v="-25.677827790630779"/>
    <n v="2.08"/>
    <n v="9516.7321599999996"/>
    <n v="4757.47"/>
    <n v="2848.44"/>
    <x v="0"/>
    <n v="2.3160272246085571"/>
    <s v="43"/>
  </r>
  <r>
    <x v="24"/>
    <s v="Suresh"/>
    <s v="Saxena"/>
    <s v="saxena.suresh54@gmail.com"/>
    <x v="17"/>
    <x v="3"/>
    <x v="0"/>
    <x v="3"/>
    <d v="2021-11-19T00:00:00"/>
    <n v="3076.16"/>
    <n v="108"/>
    <n v="111.39"/>
    <n v="344255.39999999997"/>
    <n v="4504.82"/>
    <n v="486520.55999999994"/>
    <n v="142265.15999999997"/>
    <n v="41.325469404401495"/>
    <n v="4.6399999999999997"/>
    <n v="22574.553983999995"/>
    <n v="5611.05"/>
    <n v="2685.02"/>
    <x v="0"/>
    <n v="1.295144734045709"/>
    <s v="54"/>
  </r>
  <r>
    <x v="25"/>
    <s v="Vivaan"/>
    <s v="Nair"/>
    <s v="nair.vivaan39@gmail.com"/>
    <x v="4"/>
    <x v="2"/>
    <x v="0"/>
    <x v="1"/>
    <d v="2021-03-09T00:00:00"/>
    <n v="2155.21"/>
    <n v="91"/>
    <n v="116.57"/>
    <n v="206731.98"/>
    <n v="2310.94"/>
    <n v="210295.54"/>
    <n v="3563.5599999999977"/>
    <n v="1.72375846252718"/>
    <n v="3.88"/>
    <n v="8159.4669519999998"/>
    <n v="2799.34"/>
    <n v="1741.46"/>
    <x v="1"/>
    <n v="0.7777592893411196"/>
    <s v="39"/>
  </r>
  <r>
    <x v="26"/>
    <s v="Gaurav"/>
    <s v="Verma"/>
    <s v="verma.gaurav21@gmail.com"/>
    <x v="7"/>
    <x v="4"/>
    <x v="1"/>
    <x v="0"/>
    <d v="2021-05-21T00:00:00"/>
    <n v="1057.25"/>
    <n v="10"/>
    <n v="96.99"/>
    <n v="11542.4"/>
    <n v="1007.31"/>
    <n v="10073.099999999999"/>
    <n v="-1469.3000000000011"/>
    <n v="-12.729588300526764"/>
    <n v="2.63"/>
    <n v="264.92252999999994"/>
    <n v="1106.21"/>
    <n v="975.06"/>
    <x v="0"/>
    <n v="4.3424383693761059E-2"/>
    <s v="21"/>
  </r>
  <r>
    <x v="27"/>
    <s v="Gaurav"/>
    <s v="Mehta"/>
    <s v="mehta.gaurav28@gmail.com"/>
    <x v="13"/>
    <x v="7"/>
    <x v="0"/>
    <x v="0"/>
    <d v="2023-03-31T00:00:00"/>
    <n v="310.42"/>
    <n v="84"/>
    <n v="90.61"/>
    <n v="33686.520000000004"/>
    <n v="472.4"/>
    <n v="39681.599999999999"/>
    <n v="5995.0799999999945"/>
    <n v="17.796673565568639"/>
    <n v="2.19"/>
    <n v="869.02703999999994"/>
    <n v="584.14"/>
    <n v="246.98"/>
    <x v="2"/>
    <n v="0.12673416012160002"/>
    <s v="28"/>
  </r>
  <r>
    <x v="28"/>
    <s v="Riya"/>
    <s v="Tiwari"/>
    <s v="tiwari.riya29@gmail.com"/>
    <x v="3"/>
    <x v="1"/>
    <x v="0"/>
    <x v="0"/>
    <d v="2021-12-12T00:00:00"/>
    <n v="2490.8000000000002"/>
    <n v="174"/>
    <n v="61.88"/>
    <n v="444166.32"/>
    <n v="2939.31"/>
    <n v="511439.94"/>
    <n v="67273.62"/>
    <n v="15.146042590532302"/>
    <n v="2.04"/>
    <n v="10433.374776000001"/>
    <n v="3572.44"/>
    <n v="2339.1999999999998"/>
    <x v="1"/>
    <n v="1.6710258441507708"/>
    <s v="29"/>
  </r>
  <r>
    <x v="29"/>
    <s v="Mohit"/>
    <s v="Pandey"/>
    <s v="pandey.mohit38@gmail.com"/>
    <x v="18"/>
    <x v="3"/>
    <x v="0"/>
    <x v="1"/>
    <d v="2023-06-15T00:00:00"/>
    <n v="3675.26"/>
    <n v="142"/>
    <n v="118.45"/>
    <n v="538706.82000000007"/>
    <n v="4208.7"/>
    <n v="597635.4"/>
    <n v="58928.579999999958"/>
    <n v="10.938896225594462"/>
    <n v="4.22"/>
    <n v="25220.213879999999"/>
    <n v="4866.3900000000003"/>
    <n v="3028.89"/>
    <x v="1"/>
    <n v="2.0267025618697914"/>
    <s v="38"/>
  </r>
  <r>
    <x v="30"/>
    <s v="Rahul"/>
    <s v="Sharma"/>
    <s v="sharma.rahul72@gmail.com"/>
    <x v="10"/>
    <x v="6"/>
    <x v="0"/>
    <x v="1"/>
    <d v="2021-01-07T00:00:00"/>
    <n v="2296.46"/>
    <n v="95"/>
    <n v="121.7"/>
    <n v="229725.2"/>
    <n v="2386.6799999999998"/>
    <n v="226734.59999999998"/>
    <n v="-2990.6000000000349"/>
    <n v="-1.3018162569887999"/>
    <n v="4.46"/>
    <n v="10112.363159999999"/>
    <n v="2819.32"/>
    <n v="1868.27"/>
    <x v="1"/>
    <n v="0.86426351789281253"/>
    <s v="72"/>
  </r>
  <r>
    <x v="31"/>
    <s v="Nitin"/>
    <s v="Saxena"/>
    <s v="saxena.nitin49@gmail.com"/>
    <x v="18"/>
    <x v="3"/>
    <x v="0"/>
    <x v="3"/>
    <d v="2022-07-06T00:00:00"/>
    <n v="3609.61"/>
    <n v="28"/>
    <n v="51.19"/>
    <n v="102502.40000000001"/>
    <n v="3947.98"/>
    <n v="110543.44"/>
    <n v="8041.0399999999936"/>
    <n v="7.8447333916083846"/>
    <n v="1.59"/>
    <n v="1757.6406960000002"/>
    <n v="4629.84"/>
    <n v="3013.57"/>
    <x v="2"/>
    <n v="0.3856306788130176"/>
    <s v="49"/>
  </r>
  <r>
    <x v="32"/>
    <s v="Divya"/>
    <s v="Nair"/>
    <s v="nair.divya54@gmail.com"/>
    <x v="8"/>
    <x v="0"/>
    <x v="1"/>
    <x v="0"/>
    <d v="2024-01-17T00:00:00"/>
    <n v="1028.1099999999999"/>
    <n v="35"/>
    <n v="114"/>
    <n v="39973.85"/>
    <n v="1602.05"/>
    <n v="56071.75"/>
    <n v="16097.900000000001"/>
    <n v="40.271077216730447"/>
    <n v="3.61"/>
    <n v="2024.190175"/>
    <n v="1704.67"/>
    <n v="945.74"/>
    <x v="1"/>
    <n v="0.15038811686623668"/>
    <s v="54"/>
  </r>
  <r>
    <x v="33"/>
    <s v="Pooja"/>
    <s v="Saxena"/>
    <s v="saxena.pooja18@gmail.com"/>
    <x v="19"/>
    <x v="0"/>
    <x v="0"/>
    <x v="0"/>
    <d v="2022-03-31T00:00:00"/>
    <n v="2314.5100000000002"/>
    <n v="152"/>
    <n v="98.12"/>
    <n v="366719.76"/>
    <n v="1841.35"/>
    <n v="279885.2"/>
    <n v="-86834.559999999998"/>
    <n v="-23.678724048030571"/>
    <n v="1.17"/>
    <n v="3274.6568400000001"/>
    <n v="2660.42"/>
    <n v="1509.69"/>
    <x v="1"/>
    <n v="1.3796593053718438"/>
    <s v="18"/>
  </r>
  <r>
    <x v="34"/>
    <s v="Amit"/>
    <s v="Malhotra"/>
    <s v="malhotra.amit95@gmail.com"/>
    <x v="20"/>
    <x v="6"/>
    <x v="0"/>
    <x v="3"/>
    <d v="2021-08-31T00:00:00"/>
    <n v="3898.72"/>
    <n v="114"/>
    <n v="52.75"/>
    <n v="450467.57999999996"/>
    <n v="4982.07"/>
    <n v="567955.98"/>
    <n v="117488.40000000002"/>
    <n v="26.081432985698999"/>
    <n v="3.24"/>
    <n v="18401.773752000001"/>
    <n v="5929.76"/>
    <n v="3773.75"/>
    <x v="1"/>
    <n v="1.6947322078181317"/>
    <s v="95"/>
  </r>
  <r>
    <x v="35"/>
    <s v="Aarav"/>
    <s v="Chopra"/>
    <s v="chopra.aarav35@gmail.com"/>
    <x v="21"/>
    <x v="6"/>
    <x v="1"/>
    <x v="3"/>
    <d v="2021-08-19T00:00:00"/>
    <n v="340.35"/>
    <n v="78"/>
    <n v="108.97"/>
    <n v="35046.960000000006"/>
    <n v="458.64"/>
    <n v="35773.919999999998"/>
    <n v="726.95999999999185"/>
    <n v="2.0742455265734652"/>
    <n v="2.54"/>
    <n v="908.65756800000008"/>
    <n v="540.32000000000005"/>
    <n v="327.58999999999997"/>
    <x v="2"/>
    <n v="0.13185235638514489"/>
    <s v="35"/>
  </r>
  <r>
    <x v="36"/>
    <s v="Mohit"/>
    <s v="Iyer"/>
    <s v="iyer.mohit80@gmail.com"/>
    <x v="12"/>
    <x v="3"/>
    <x v="1"/>
    <x v="1"/>
    <d v="2020-02-22T00:00:00"/>
    <n v="592.71"/>
    <n v="177"/>
    <n v="127.03"/>
    <n v="127393.98000000001"/>
    <n v="734.32"/>
    <n v="129974.64000000001"/>
    <n v="2580.6600000000035"/>
    <n v="2.0257315141578931"/>
    <n v="4.78"/>
    <n v="6212.787792000001"/>
    <n v="917.83"/>
    <n v="536.17999999999995"/>
    <x v="1"/>
    <n v="0.47927684604547777"/>
    <s v="80"/>
  </r>
  <r>
    <x v="37"/>
    <s v="Rahul"/>
    <s v="Patel"/>
    <s v="patel.rahul51@gmail.com"/>
    <x v="7"/>
    <x v="4"/>
    <x v="1"/>
    <x v="3"/>
    <d v="2024-11-06T00:00:00"/>
    <n v="2412.7600000000002"/>
    <n v="5"/>
    <n v="102.07"/>
    <n v="12574.150000000001"/>
    <n v="2922.35"/>
    <n v="14611.75"/>
    <n v="2037.5999999999985"/>
    <n v="16.204673874575999"/>
    <n v="2.36"/>
    <n v="344.83729999999997"/>
    <n v="3106.88"/>
    <n v="2010.33"/>
    <x v="0"/>
    <n v="4.7305994786431389E-2"/>
    <s v="51"/>
  </r>
  <r>
    <x v="38"/>
    <s v="Tanvi"/>
    <s v="Saxena"/>
    <s v="saxena.tanvi81@gmail.com"/>
    <x v="19"/>
    <x v="0"/>
    <x v="0"/>
    <x v="0"/>
    <d v="2023-07-14T00:00:00"/>
    <n v="2818.15"/>
    <n v="66"/>
    <n v="109.37"/>
    <n v="193216.32"/>
    <n v="2857.99"/>
    <n v="188627.34"/>
    <n v="-4588.9800000000105"/>
    <n v="-2.3750478220473354"/>
    <n v="0.56000000000000005"/>
    <n v="1056.3131040000001"/>
    <n v="3183.34"/>
    <n v="2259.2600000000002"/>
    <x v="1"/>
    <n v="0.72691118100018359"/>
    <s v="81"/>
  </r>
  <r>
    <x v="39"/>
    <s v="Nitin"/>
    <s v="Nair"/>
    <s v="nair.nitin93@gmail.com"/>
    <x v="22"/>
    <x v="6"/>
    <x v="0"/>
    <x v="3"/>
    <d v="2022-08-25T00:00:00"/>
    <n v="1248.04"/>
    <n v="146"/>
    <n v="30.25"/>
    <n v="186630.34"/>
    <n v="1138.24"/>
    <n v="166183.04000000001"/>
    <n v="-20447.299999999988"/>
    <n v="-10.956042838479526"/>
    <n v="3.2"/>
    <n v="5317.8572800000002"/>
    <n v="1487.22"/>
    <n v="889.42"/>
    <x v="1"/>
    <n v="0.70213365444423015"/>
    <s v="93"/>
  </r>
  <r>
    <x v="40"/>
    <s v="Divya"/>
    <s v="Kumar"/>
    <s v="kumar.divya10@gmail.com"/>
    <x v="23"/>
    <x v="1"/>
    <x v="1"/>
    <x v="3"/>
    <d v="2024-11-07T00:00:00"/>
    <n v="838.96"/>
    <n v="142"/>
    <n v="77.81"/>
    <n v="130181.34000000001"/>
    <n v="866.29"/>
    <n v="123013.18"/>
    <n v="-7168.160000000018"/>
    <n v="-5.5062883820369475"/>
    <n v="3.93"/>
    <n v="4834.417974"/>
    <n v="958.77"/>
    <n v="809.22"/>
    <x v="1"/>
    <n v="0.48976334713126946"/>
    <s v="10"/>
  </r>
  <r>
    <x v="41"/>
    <s v="Mohit"/>
    <s v="Saxena"/>
    <s v="saxena.mohit62@gmail.com"/>
    <x v="24"/>
    <x v="4"/>
    <x v="0"/>
    <x v="3"/>
    <d v="2022-03-01T00:00:00"/>
    <n v="4450.18"/>
    <n v="171"/>
    <n v="147.31"/>
    <n v="786170.79"/>
    <n v="5211.29"/>
    <n v="891130.59"/>
    <n v="104959.79999999993"/>
    <n v="13.350763133796912"/>
    <n v="0.67"/>
    <n v="5970.5749530000003"/>
    <n v="5917.56"/>
    <n v="3941.71"/>
    <x v="1"/>
    <n v="2.9577022139058822"/>
    <s v="62"/>
  </r>
  <r>
    <x v="42"/>
    <s v="Kavya"/>
    <s v="Gupta"/>
    <s v="gupta.kavya77@gmail.com"/>
    <x v="1"/>
    <x v="1"/>
    <x v="0"/>
    <x v="3"/>
    <d v="2024-05-19T00:00:00"/>
    <n v="4367.58"/>
    <n v="91"/>
    <n v="97.26"/>
    <n v="406300.43999999994"/>
    <n v="4751.32"/>
    <n v="432370.12"/>
    <n v="26069.680000000051"/>
    <n v="6.4163553453203388"/>
    <n v="0.86"/>
    <n v="3718.3830319999997"/>
    <n v="5205.3999999999996"/>
    <n v="3953.11"/>
    <x v="2"/>
    <n v="1.5285682528333744"/>
    <s v="77"/>
  </r>
  <r>
    <x v="43"/>
    <s v="Ananya"/>
    <s v="Pandey"/>
    <s v="pandey.ananya33@gmail.com"/>
    <x v="22"/>
    <x v="6"/>
    <x v="0"/>
    <x v="2"/>
    <d v="2020-12-14T00:00:00"/>
    <n v="952.8"/>
    <n v="161"/>
    <n v="131.91999999999999"/>
    <n v="174639.91999999998"/>
    <n v="1216.49"/>
    <n v="195854.89"/>
    <n v="21214.97000000003"/>
    <n v="12.147835386090438"/>
    <n v="1.58"/>
    <n v="3094.5072620000005"/>
    <n v="1496.22"/>
    <n v="745.96"/>
    <x v="0"/>
    <n v="0.65702374673618447"/>
    <s v="33"/>
  </r>
  <r>
    <x v="44"/>
    <s v="Deepak"/>
    <s v="Mishra"/>
    <s v="mishra.deepak57@gmail.com"/>
    <x v="25"/>
    <x v="1"/>
    <x v="1"/>
    <x v="0"/>
    <d v="2022-06-23T00:00:00"/>
    <n v="4264.51"/>
    <n v="155"/>
    <n v="51.88"/>
    <n v="669040.45000000007"/>
    <n v="6685.58"/>
    <n v="1036264.9"/>
    <n v="367224.44999999995"/>
    <n v="54.888228357493176"/>
    <n v="3.61"/>
    <n v="37409.16289"/>
    <n v="7521.76"/>
    <n v="3494.71"/>
    <x v="0"/>
    <n v="2.5170388487183399"/>
    <s v="57"/>
  </r>
  <r>
    <x v="45"/>
    <s v="Aarav"/>
    <s v="Reddy"/>
    <s v="reddy.aarav58@gmail.com"/>
    <x v="0"/>
    <x v="0"/>
    <x v="0"/>
    <x v="0"/>
    <d v="2023-03-05T00:00:00"/>
    <n v="3919.79"/>
    <n v="195"/>
    <n v="146.30000000000001"/>
    <n v="792887.55"/>
    <n v="5973.86"/>
    <n v="1164902.7"/>
    <n v="372015.14999999991"/>
    <n v="46.919030321512793"/>
    <n v="3.85"/>
    <n v="44848.753949999998"/>
    <n v="7237.65"/>
    <n v="3753.89"/>
    <x v="1"/>
    <n v="2.9829717560651301"/>
    <s v="58"/>
  </r>
  <r>
    <x v="46"/>
    <s v="Harish"/>
    <s v="Patel"/>
    <s v="patel.harish32@gmail.com"/>
    <x v="11"/>
    <x v="2"/>
    <x v="1"/>
    <x v="0"/>
    <d v="2021-09-24T00:00:00"/>
    <n v="3591.03"/>
    <n v="13"/>
    <n v="91.14"/>
    <n v="47868.21"/>
    <n v="4928.71"/>
    <n v="64073.23"/>
    <n v="16205.020000000004"/>
    <n v="33.853407094186316"/>
    <n v="0.91"/>
    <n v="583.06639300000006"/>
    <n v="5361.82"/>
    <n v="3310.64"/>
    <x v="1"/>
    <n v="0.18008798150935074"/>
    <s v="32"/>
  </r>
  <r>
    <x v="47"/>
    <s v="Rohan"/>
    <s v="Malhotra"/>
    <s v="malhotra.rohan97@gmail.com"/>
    <x v="15"/>
    <x v="2"/>
    <x v="0"/>
    <x v="1"/>
    <d v="2023-04-12T00:00:00"/>
    <n v="1838.41"/>
    <n v="168"/>
    <n v="141.63999999999999"/>
    <n v="332648.40000000002"/>
    <n v="1548.11"/>
    <n v="260082.47999999998"/>
    <n v="-72565.920000000042"/>
    <n v="-21.814600641397956"/>
    <n v="1.55"/>
    <n v="4031.27844"/>
    <n v="1885.76"/>
    <n v="1475.93"/>
    <x v="2"/>
    <n v="1.2514773146586244"/>
    <s v="97"/>
  </r>
  <r>
    <x v="48"/>
    <s v="Harish"/>
    <s v="Chopra"/>
    <s v="chopra.harish59@gmail.com"/>
    <x v="19"/>
    <x v="0"/>
    <x v="0"/>
    <x v="2"/>
    <d v="2020-04-02T00:00:00"/>
    <n v="4268.92"/>
    <n v="82"/>
    <n v="149.43"/>
    <n v="362304.7"/>
    <n v="3623.04"/>
    <n v="297089.27999999997"/>
    <n v="-65215.420000000042"/>
    <n v="-18.000158430183223"/>
    <n v="1.56"/>
    <n v="4634.5927679999995"/>
    <n v="4882.09"/>
    <n v="3041.14"/>
    <x v="1"/>
    <n v="1.3630491324900362"/>
    <s v="59"/>
  </r>
  <r>
    <x v="49"/>
    <s v="Tanvi"/>
    <s v="Chopra"/>
    <s v="chopra.tanvi35@gmail.com"/>
    <x v="18"/>
    <x v="3"/>
    <x v="0"/>
    <x v="0"/>
    <d v="2024-09-03T00:00:00"/>
    <n v="2304.19"/>
    <n v="109"/>
    <n v="141.47"/>
    <n v="266576.94"/>
    <n v="2276.0300000000002"/>
    <n v="248087.27000000002"/>
    <n v="-18489.669999999984"/>
    <n v="-6.9359600271501289"/>
    <n v="3.61"/>
    <n v="8955.9504470000011"/>
    <n v="2465.42"/>
    <n v="1939.81"/>
    <x v="1"/>
    <n v="1.0029057497980247"/>
    <s v="35"/>
  </r>
  <r>
    <x v="50"/>
    <s v="Vivaan"/>
    <s v="Reddy"/>
    <s v="reddy.vivaan68@gmail.com"/>
    <x v="0"/>
    <x v="0"/>
    <x v="0"/>
    <x v="2"/>
    <d v="2020-09-07T00:00:00"/>
    <n v="4280.75"/>
    <n v="121"/>
    <n v="22.83"/>
    <n v="520733.18"/>
    <n v="3982.34"/>
    <n v="481863.14"/>
    <n v="-38870.039999999979"/>
    <n v="-7.4644830582910009"/>
    <n v="3.38"/>
    <n v="16286.974132000001"/>
    <n v="5322.48"/>
    <n v="3033.08"/>
    <x v="1"/>
    <n v="1.959082808635322"/>
    <s v="68"/>
  </r>
  <r>
    <x v="51"/>
    <s v="Sanjay"/>
    <s v="Joshi"/>
    <s v="joshi.sanjay43@gmail.com"/>
    <x v="23"/>
    <x v="1"/>
    <x v="1"/>
    <x v="2"/>
    <d v="2021-11-03T00:00:00"/>
    <n v="3529.78"/>
    <n v="157"/>
    <n v="10.4"/>
    <n v="555808.26000000013"/>
    <n v="5222.82"/>
    <n v="819982.74"/>
    <n v="264174.47999999986"/>
    <n v="47.529786621019241"/>
    <n v="1.1499999999999999"/>
    <n v="9429.8015099999993"/>
    <n v="5483.43"/>
    <n v="2850.83"/>
    <x v="1"/>
    <n v="2.0910409570281496"/>
    <s v="43"/>
  </r>
  <r>
    <x v="52"/>
    <s v="Aarav"/>
    <s v="Mehta"/>
    <s v="mehta.aarav63@gmail.com"/>
    <x v="0"/>
    <x v="0"/>
    <x v="0"/>
    <x v="4"/>
    <d v="2020-09-16T00:00:00"/>
    <n v="3389.39"/>
    <n v="139"/>
    <n v="25.91"/>
    <n v="474726.69999999995"/>
    <n v="2725.15"/>
    <n v="378795.85000000003"/>
    <n v="-95930.849999999919"/>
    <n v="-20.207595233215223"/>
    <n v="2.52"/>
    <n v="9545.655420000001"/>
    <n v="3739.41"/>
    <n v="2415.96"/>
    <x v="0"/>
    <n v="1.7859989577967319"/>
    <s v="63"/>
  </r>
  <r>
    <x v="53"/>
    <s v="Divya"/>
    <s v="Malhotra"/>
    <s v="malhotra.divya95@gmail.com"/>
    <x v="18"/>
    <x v="3"/>
    <x v="0"/>
    <x v="0"/>
    <d v="2020-05-04T00:00:00"/>
    <n v="4493.92"/>
    <n v="107"/>
    <n v="69.680000000000007"/>
    <n v="488305.2"/>
    <n v="3782.84"/>
    <n v="404763.88"/>
    <n v="-83541.320000000007"/>
    <n v="-17.108423174686653"/>
    <n v="3.71"/>
    <n v="15016.739948"/>
    <n v="5042.2700000000004"/>
    <n v="3619.54"/>
    <x v="1"/>
    <n v="1.8370834804251053"/>
    <s v="95"/>
  </r>
  <r>
    <x v="54"/>
    <s v="Amit"/>
    <s v="Shah"/>
    <s v="shah.amit63@gmail.com"/>
    <x v="26"/>
    <x v="6"/>
    <x v="0"/>
    <x v="1"/>
    <d v="2022-07-18T00:00:00"/>
    <n v="2373.87"/>
    <n v="115"/>
    <n v="23.88"/>
    <n v="275741.25"/>
    <n v="3196.45"/>
    <n v="367591.75"/>
    <n v="91850.5"/>
    <n v="33.310395162131165"/>
    <n v="4.34"/>
    <n v="15953.481949999998"/>
    <n v="3738.92"/>
    <n v="2200.25"/>
    <x v="1"/>
    <n v="1.037383372625909"/>
    <s v="63"/>
  </r>
  <r>
    <x v="55"/>
    <s v="Rahul"/>
    <s v="Chopra"/>
    <s v="chopra.rahul25@gmail.com"/>
    <x v="27"/>
    <x v="7"/>
    <x v="1"/>
    <x v="1"/>
    <d v="2022-02-05T00:00:00"/>
    <n v="4300.45"/>
    <n v="180"/>
    <n v="139.22"/>
    <n v="799140.6"/>
    <n v="3470.74"/>
    <n v="624733.19999999995"/>
    <n v="-174407.40000000002"/>
    <n v="-21.824369829289118"/>
    <n v="4.24"/>
    <n v="26488.687680000003"/>
    <n v="4478.67"/>
    <n v="2680.14"/>
    <x v="1"/>
    <n v="3.0064967458814831"/>
    <s v="25"/>
  </r>
  <r>
    <x v="56"/>
    <s v="Suresh"/>
    <s v="Pillai"/>
    <s v="pillai.suresh30@gmail.com"/>
    <x v="14"/>
    <x v="2"/>
    <x v="0"/>
    <x v="3"/>
    <d v="2024-11-12T00:00:00"/>
    <n v="4138.13"/>
    <n v="18"/>
    <n v="145.58000000000001"/>
    <n v="77106.78"/>
    <n v="5215.49"/>
    <n v="93878.819999999992"/>
    <n v="16772.039999999994"/>
    <n v="21.751705881117061"/>
    <n v="2.08"/>
    <n v="1952.6794559999998"/>
    <n v="6013.05"/>
    <n v="3306.08"/>
    <x v="0"/>
    <n v="0.29008823122664451"/>
    <s v="30"/>
  </r>
  <r>
    <x v="57"/>
    <s v="Riya"/>
    <s v="Chopra"/>
    <s v="chopra.riya47@gmail.com"/>
    <x v="14"/>
    <x v="2"/>
    <x v="0"/>
    <x v="0"/>
    <d v="2023-06-01T00:00:00"/>
    <n v="4195.0600000000004"/>
    <n v="182"/>
    <n v="47.44"/>
    <n v="772135"/>
    <n v="3789.62"/>
    <n v="689710.84"/>
    <n v="-82424.160000000033"/>
    <n v="-10.674837949322338"/>
    <n v="3.66"/>
    <n v="25243.416743999998"/>
    <n v="4577.09"/>
    <n v="3138.41"/>
    <x v="1"/>
    <n v="2.9048972920174485"/>
    <s v="47"/>
  </r>
  <r>
    <x v="58"/>
    <s v="Aditya"/>
    <s v="Pandey"/>
    <s v="pandey.aditya15@gmail.com"/>
    <x v="2"/>
    <x v="0"/>
    <x v="0"/>
    <x v="4"/>
    <d v="2022-05-09T00:00:00"/>
    <n v="2150.6799999999998"/>
    <n v="45"/>
    <n v="61.81"/>
    <n v="99562.049999999988"/>
    <n v="2932.14"/>
    <n v="131946.29999999999"/>
    <n v="32384.25"/>
    <n v="32.52670068565282"/>
    <n v="4"/>
    <n v="5277.8519999999999"/>
    <n v="3373.56"/>
    <n v="1655.03"/>
    <x v="1"/>
    <n v="0.37456860449624196"/>
    <s v="15"/>
  </r>
  <r>
    <x v="59"/>
    <s v="Kiran"/>
    <s v="Singh"/>
    <s v="singh.kiran13@gmail.com"/>
    <x v="14"/>
    <x v="2"/>
    <x v="0"/>
    <x v="1"/>
    <d v="2023-03-25T00:00:00"/>
    <n v="2045.92"/>
    <n v="108"/>
    <n v="109.33"/>
    <n v="232767"/>
    <n v="2260.8200000000002"/>
    <n v="244168.56000000003"/>
    <n v="11401.560000000027"/>
    <n v="4.8982716622201714"/>
    <n v="1.02"/>
    <n v="2490.5193120000004"/>
    <n v="2316.88"/>
    <n v="1687.26"/>
    <x v="2"/>
    <n v="0.87570726358865403"/>
    <s v="13"/>
  </r>
  <r>
    <x v="60"/>
    <s v="Sanjay"/>
    <s v="Reddy"/>
    <s v="reddy.sanjay81@gmail.com"/>
    <x v="26"/>
    <x v="6"/>
    <x v="0"/>
    <x v="0"/>
    <d v="2022-03-21T00:00:00"/>
    <n v="3943.25"/>
    <n v="195"/>
    <n v="57.53"/>
    <n v="780152.1"/>
    <n v="4073.8"/>
    <n v="794391"/>
    <n v="14238.900000000023"/>
    <n v="1.8251440969011075"/>
    <n v="1.26"/>
    <n v="10009.3266"/>
    <n v="4633.59"/>
    <n v="3060.85"/>
    <x v="2"/>
    <n v="2.9350589244778771"/>
    <s v="81"/>
  </r>
  <r>
    <x v="61"/>
    <s v="Ananya"/>
    <s v="Patel"/>
    <s v="patel.ananya34@gmail.com"/>
    <x v="6"/>
    <x v="0"/>
    <x v="0"/>
    <x v="1"/>
    <d v="2021-02-08T00:00:00"/>
    <n v="946.05"/>
    <n v="44"/>
    <n v="116.43"/>
    <n v="46749.119999999995"/>
    <n v="1236.6600000000001"/>
    <n v="54413.04"/>
    <n v="7663.9200000000055"/>
    <n v="16.393720352383117"/>
    <n v="1.3"/>
    <n v="707.36952000000008"/>
    <n v="1481.22"/>
    <n v="817.05"/>
    <x v="2"/>
    <n v="0.17587778314957711"/>
    <s v="34"/>
  </r>
  <r>
    <x v="62"/>
    <s v="Raj"/>
    <s v="Shah"/>
    <s v="shah.raj24@gmail.com"/>
    <x v="26"/>
    <x v="6"/>
    <x v="0"/>
    <x v="3"/>
    <d v="2022-08-05T00:00:00"/>
    <n v="2695.42"/>
    <n v="194"/>
    <n v="135.41999999999999"/>
    <n v="549182.96000000008"/>
    <n v="3051.95"/>
    <n v="592078.29999999993"/>
    <n v="42895.339999999851"/>
    <n v="7.8107558180610424"/>
    <n v="4.1399999999999997"/>
    <n v="24512.041619999996"/>
    <n v="3570.55"/>
    <n v="2220.89"/>
    <x v="0"/>
    <n v="2.0661155022452382"/>
    <s v="24"/>
  </r>
  <r>
    <x v="63"/>
    <s v="Divya"/>
    <s v="Nair"/>
    <s v="nair.divya73@gmail.com"/>
    <x v="28"/>
    <x v="4"/>
    <x v="0"/>
    <x v="2"/>
    <d v="2021-11-13T00:00:00"/>
    <n v="550.46"/>
    <n v="174"/>
    <n v="29.8"/>
    <n v="100965.24"/>
    <n v="576.52"/>
    <n v="100314.48"/>
    <n v="-650.76000000000931"/>
    <n v="-0.64453865508566044"/>
    <n v="4.8499999999999996"/>
    <n v="4865.2522799999997"/>
    <n v="680.67"/>
    <n v="462.47"/>
    <x v="2"/>
    <n v="0.37984763320389797"/>
    <s v="73"/>
  </r>
  <r>
    <x v="64"/>
    <s v="Deepak"/>
    <s v="Pandey"/>
    <s v="pandey.deepak30@gmail.com"/>
    <x v="1"/>
    <x v="1"/>
    <x v="0"/>
    <x v="3"/>
    <d v="2022-11-07T00:00:00"/>
    <n v="1755.86"/>
    <n v="97"/>
    <n v="53.24"/>
    <n v="175482.69999999998"/>
    <n v="2736.5"/>
    <n v="265440.5"/>
    <n v="89957.800000000017"/>
    <n v="51.263058979603137"/>
    <n v="2.04"/>
    <n v="5414.9862000000003"/>
    <n v="3273.44"/>
    <n v="1394.44"/>
    <x v="1"/>
    <n v="0.66019442199344713"/>
    <s v="30"/>
  </r>
  <r>
    <x v="65"/>
    <s v="Vivaan"/>
    <s v="Iyer"/>
    <s v="iyer.vivaan96@gmail.com"/>
    <x v="11"/>
    <x v="2"/>
    <x v="1"/>
    <x v="2"/>
    <d v="2023-05-08T00:00:00"/>
    <n v="1819.9"/>
    <n v="46"/>
    <n v="35.32"/>
    <n v="85340.12000000001"/>
    <n v="2436.6999999999998"/>
    <n v="112088.2"/>
    <n v="26748.079999999987"/>
    <n v="31.342913508909977"/>
    <n v="3.31"/>
    <n v="3710.11942"/>
    <n v="2991.32"/>
    <n v="1666.8"/>
    <x v="1"/>
    <n v="0.32106339369209286"/>
    <s v="96"/>
  </r>
  <r>
    <x v="66"/>
    <s v="Ananya"/>
    <s v="Mishra"/>
    <s v="mishra.ananya83@gmail.com"/>
    <x v="8"/>
    <x v="0"/>
    <x v="1"/>
    <x v="1"/>
    <d v="2024-07-14T00:00:00"/>
    <n v="3572.79"/>
    <n v="54"/>
    <n v="61.5"/>
    <n v="196251.66"/>
    <n v="5555.91"/>
    <n v="300019.14"/>
    <n v="103767.48000000001"/>
    <n v="52.87470179870072"/>
    <n v="4.93"/>
    <n v="14790.943601999999"/>
    <n v="6256.99"/>
    <n v="2911.14"/>
    <x v="0"/>
    <n v="0.73833062312669295"/>
    <s v="83"/>
  </r>
  <r>
    <x v="67"/>
    <s v="Vivaan"/>
    <s v="Saxena"/>
    <s v="saxena.vivaan50@gmail.com"/>
    <x v="14"/>
    <x v="2"/>
    <x v="0"/>
    <x v="1"/>
    <d v="2023-02-09T00:00:00"/>
    <n v="4217.46"/>
    <n v="187"/>
    <n v="128.41999999999999"/>
    <n v="812679.56"/>
    <n v="6214.39"/>
    <n v="1162090.9300000002"/>
    <n v="349411.37000000011"/>
    <n v="42.994974550608859"/>
    <n v="1.78"/>
    <n v="20685.218554000003"/>
    <n v="7429.41"/>
    <n v="3427.71"/>
    <x v="2"/>
    <n v="3.0574325126071629"/>
    <s v="50"/>
  </r>
  <r>
    <x v="68"/>
    <s v="Simran"/>
    <s v="Sharma"/>
    <s v="sharma.simran67@gmail.com"/>
    <x v="22"/>
    <x v="6"/>
    <x v="0"/>
    <x v="0"/>
    <d v="2022-03-22T00:00:00"/>
    <n v="2358.63"/>
    <n v="65"/>
    <n v="64.06"/>
    <n v="157474.85"/>
    <n v="1932.58"/>
    <n v="125617.7"/>
    <n v="-31857.150000000009"/>
    <n v="-20.229992281307148"/>
    <n v="1.51"/>
    <n v="1896.8272699999998"/>
    <n v="2578.6799999999998"/>
    <n v="1493.48"/>
    <x v="1"/>
    <n v="0.59244596518206516"/>
    <s v="67"/>
  </r>
  <r>
    <x v="69"/>
    <s v="Gaurav"/>
    <s v="Saxena"/>
    <s v="saxena.gaurav32@gmail.com"/>
    <x v="21"/>
    <x v="6"/>
    <x v="1"/>
    <x v="0"/>
    <d v="2020-06-11T00:00:00"/>
    <n v="281.72000000000003"/>
    <n v="60"/>
    <n v="126.89"/>
    <n v="24516.6"/>
    <n v="342.71"/>
    <n v="20562.599999999999"/>
    <n v="-3954"/>
    <n v="-16.127848070287072"/>
    <n v="3.77"/>
    <n v="775.21001999999999"/>
    <n v="391.16"/>
    <n v="218.49"/>
    <x v="1"/>
    <n v="9.2235431562453424E-2"/>
    <s v="32"/>
  </r>
  <r>
    <x v="70"/>
    <s v="Rohan"/>
    <s v="Saxena"/>
    <s v="saxena.rohan20@gmail.com"/>
    <x v="12"/>
    <x v="3"/>
    <x v="1"/>
    <x v="0"/>
    <d v="2023-07-18T00:00:00"/>
    <n v="2416.12"/>
    <n v="66"/>
    <n v="110.6"/>
    <n v="166763.51999999999"/>
    <n v="2410.2800000000002"/>
    <n v="159078.48000000001"/>
    <n v="-7685.039999999979"/>
    <n v="-4.608345997973645"/>
    <n v="0.51"/>
    <n v="811.30024800000012"/>
    <n v="2660.5"/>
    <n v="2124.0700000000002"/>
    <x v="1"/>
    <n v="0.62739145053040934"/>
    <s v="20"/>
  </r>
  <r>
    <x v="71"/>
    <s v="Riya"/>
    <s v="Pandey"/>
    <s v="pandey.riya93@gmail.com"/>
    <x v="16"/>
    <x v="5"/>
    <x v="1"/>
    <x v="0"/>
    <d v="2022-03-10T00:00:00"/>
    <n v="3955.33"/>
    <n v="16"/>
    <n v="98.99"/>
    <n v="64869.119999999995"/>
    <n v="6264.78"/>
    <n v="100236.48"/>
    <n v="35367.360000000001"/>
    <n v="54.521103415615947"/>
    <n v="1.64"/>
    <n v="1643.8782719999997"/>
    <n v="6413.48"/>
    <n v="3683.83"/>
    <x v="1"/>
    <n v="0.24404816647808336"/>
    <s v="93"/>
  </r>
  <r>
    <x v="72"/>
    <s v="Sneha"/>
    <s v="Reddy"/>
    <s v="reddy.sneha60@gmail.com"/>
    <x v="23"/>
    <x v="1"/>
    <x v="1"/>
    <x v="3"/>
    <d v="2021-06-02T00:00:00"/>
    <n v="357.47"/>
    <n v="170"/>
    <n v="36.75"/>
    <n v="67017.399999999994"/>
    <n v="376.57"/>
    <n v="64016.9"/>
    <n v="-3000.4999999999927"/>
    <n v="-4.4771954746080764"/>
    <n v="4.01"/>
    <n v="2567.0776900000001"/>
    <n v="459.09"/>
    <n v="295.39"/>
    <x v="1"/>
    <n v="0.25213034479469282"/>
    <s v="60"/>
  </r>
  <r>
    <x v="73"/>
    <s v="Neha"/>
    <s v="Saxena"/>
    <s v="saxena.neha65@gmail.com"/>
    <x v="24"/>
    <x v="4"/>
    <x v="0"/>
    <x v="3"/>
    <d v="2022-01-22T00:00:00"/>
    <n v="4174.54"/>
    <n v="137"/>
    <n v="47.34"/>
    <n v="578397.55999999994"/>
    <n v="3424.04"/>
    <n v="469093.48"/>
    <n v="-109304.07999999996"/>
    <n v="-18.897742238055081"/>
    <n v="2.41"/>
    <n v="11305.152868000001"/>
    <n v="4671.4799999999996"/>
    <n v="3351.7"/>
    <x v="1"/>
    <n v="2.1760255729289564"/>
    <s v="65"/>
  </r>
  <r>
    <x v="74"/>
    <s v="Neha"/>
    <s v="Malhotra"/>
    <s v="malhotra.neha79@gmail.com"/>
    <x v="15"/>
    <x v="2"/>
    <x v="0"/>
    <x v="3"/>
    <d v="2020-03-27T00:00:00"/>
    <n v="3325.3"/>
    <n v="95"/>
    <n v="96.08"/>
    <n v="325031.09999999998"/>
    <n v="3723.34"/>
    <n v="353717.3"/>
    <n v="28686.200000000012"/>
    <n v="8.8256785273778462"/>
    <n v="3.38"/>
    <n v="11955.64474"/>
    <n v="4475.6000000000004"/>
    <n v="2537.84"/>
    <x v="0"/>
    <n v="1.2228197947398478"/>
    <s v="79"/>
  </r>
  <r>
    <x v="75"/>
    <s v="Vivaan"/>
    <s v="Gupta"/>
    <s v="gupta.vivaan81@gmail.com"/>
    <x v="1"/>
    <x v="1"/>
    <x v="0"/>
    <x v="2"/>
    <d v="2024-05-13T00:00:00"/>
    <n v="2974.2"/>
    <n v="97"/>
    <n v="63.6"/>
    <n v="294666.59999999998"/>
    <n v="3664.68"/>
    <n v="355473.95999999996"/>
    <n v="60807.359999999986"/>
    <n v="20.635986569227725"/>
    <n v="3.22"/>
    <n v="11446.261511999999"/>
    <n v="4310.34"/>
    <n v="2879.71"/>
    <x v="1"/>
    <n v="1.1085836134717226"/>
    <s v="81"/>
  </r>
  <r>
    <x v="76"/>
    <s v="Ananya"/>
    <s v="Patel"/>
    <s v="patel.ananya55@gmail.com"/>
    <x v="17"/>
    <x v="3"/>
    <x v="0"/>
    <x v="2"/>
    <d v="2022-10-19T00:00:00"/>
    <n v="2426.3000000000002"/>
    <n v="148"/>
    <n v="26.49"/>
    <n v="363012.92000000004"/>
    <n v="3417.98"/>
    <n v="505861.04"/>
    <n v="142848.11999999994"/>
    <n v="39.350698592215373"/>
    <n v="3.67"/>
    <n v="18565.100167999997"/>
    <n v="3655.02"/>
    <n v="2161.1799999999998"/>
    <x v="0"/>
    <n v="1.3657135711699984"/>
    <s v="55"/>
  </r>
  <r>
    <x v="77"/>
    <s v="Riya"/>
    <s v="Iyer"/>
    <s v="iyer.riya24@gmail.com"/>
    <x v="5"/>
    <x v="3"/>
    <x v="1"/>
    <x v="1"/>
    <d v="2023-12-24T00:00:00"/>
    <n v="479.24"/>
    <n v="143"/>
    <n v="50.65"/>
    <n v="75774.27"/>
    <n v="481.62"/>
    <n v="68871.66"/>
    <n v="-6902.6100000000006"/>
    <n v="-9.1094378078469127"/>
    <n v="1.21"/>
    <n v="833.34708599999999"/>
    <n v="569.85"/>
    <n v="436.61"/>
    <x v="1"/>
    <n v="0.28507511215991893"/>
    <s v="24"/>
  </r>
  <r>
    <x v="78"/>
    <s v="Aarav"/>
    <s v="Pillai"/>
    <s v="pillai.aarav90@gmail.com"/>
    <x v="16"/>
    <x v="5"/>
    <x v="1"/>
    <x v="1"/>
    <d v="2022-08-15T00:00:00"/>
    <n v="3655.75"/>
    <n v="146"/>
    <n v="28.17"/>
    <n v="537852.31999999995"/>
    <n v="5489.51"/>
    <n v="801468.46000000008"/>
    <n v="263616.14000000013"/>
    <n v="49.012736432930168"/>
    <n v="0.8"/>
    <n v="6411.7476800000013"/>
    <n v="6102.01"/>
    <n v="3344.63"/>
    <x v="0"/>
    <n v="2.0234877940687861"/>
    <s v="90"/>
  </r>
  <r>
    <x v="79"/>
    <s v="Kiran"/>
    <s v="Malhotra"/>
    <s v="malhotra.kiran22@gmail.com"/>
    <x v="5"/>
    <x v="3"/>
    <x v="1"/>
    <x v="1"/>
    <d v="2020-09-19T00:00:00"/>
    <n v="3975.23"/>
    <n v="146"/>
    <n v="99.57"/>
    <n v="594920.79999999993"/>
    <n v="3596.27"/>
    <n v="525055.42000000004"/>
    <n v="-69865.379999999888"/>
    <n v="-11.743643859821324"/>
    <n v="4.8499999999999996"/>
    <n v="25465.187870000002"/>
    <n v="4450.28"/>
    <n v="3450.49"/>
    <x v="1"/>
    <n v="2.238188685767196"/>
    <s v="22"/>
  </r>
  <r>
    <x v="80"/>
    <s v="Vikram"/>
    <s v="Pandey"/>
    <s v="pandey.vikram46@gmail.com"/>
    <x v="11"/>
    <x v="2"/>
    <x v="1"/>
    <x v="1"/>
    <d v="2024-09-28T00:00:00"/>
    <n v="539.1"/>
    <n v="55"/>
    <n v="98.91"/>
    <n v="35090.550000000003"/>
    <n v="656.74"/>
    <n v="36120.699999999997"/>
    <n v="1030.1499999999942"/>
    <n v="2.9356906631557331"/>
    <n v="1.06"/>
    <n v="382.87941999999998"/>
    <n v="715.62"/>
    <n v="470.47"/>
    <x v="2"/>
    <n v="0.1320163490457017"/>
    <s v="46"/>
  </r>
  <r>
    <x v="81"/>
    <s v="Shruti"/>
    <s v="Tiwari"/>
    <s v="tiwari.shruti65@gmail.com"/>
    <x v="29"/>
    <x v="1"/>
    <x v="0"/>
    <x v="0"/>
    <d v="2020-06-15T00:00:00"/>
    <n v="395.49"/>
    <n v="169"/>
    <n v="117.94"/>
    <n v="86769.67"/>
    <n v="385.59"/>
    <n v="65164.71"/>
    <n v="-21604.959999999999"/>
    <n v="-24.899207292133298"/>
    <n v="1.45"/>
    <n v="944.88829499999997"/>
    <n v="455.44"/>
    <n v="344.01"/>
    <x v="1"/>
    <n v="0.32644159300154457"/>
    <s v="65"/>
  </r>
  <r>
    <x v="82"/>
    <s v="Divya"/>
    <s v="Malhotra"/>
    <s v="malhotra.divya76@gmail.com"/>
    <x v="1"/>
    <x v="1"/>
    <x v="0"/>
    <x v="0"/>
    <d v="2020-11-19T00:00:00"/>
    <n v="2090.3000000000002"/>
    <n v="128"/>
    <n v="75.02"/>
    <n v="277160.96000000002"/>
    <n v="2172.16"/>
    <n v="278036.47999999998"/>
    <n v="875.51999999996042"/>
    <n v="0.31588864463449695"/>
    <n v="1.1499999999999999"/>
    <n v="3197.4195199999995"/>
    <n v="2646"/>
    <n v="1721.24"/>
    <x v="1"/>
    <n v="1.042724552256997"/>
    <s v="76"/>
  </r>
  <r>
    <x v="83"/>
    <s v="Rohan"/>
    <s v="Nair"/>
    <s v="nair.rohan86@gmail.com"/>
    <x v="21"/>
    <x v="6"/>
    <x v="1"/>
    <x v="2"/>
    <d v="2020-10-15T00:00:00"/>
    <n v="616.29"/>
    <n v="79"/>
    <n v="142.35"/>
    <n v="59932.56"/>
    <n v="914.91"/>
    <n v="72277.89"/>
    <n v="12345.330000000002"/>
    <n v="20.598702942106932"/>
    <n v="2.38"/>
    <n v="1720.2137819999998"/>
    <n v="1135.79"/>
    <n v="590.12"/>
    <x v="1"/>
    <n v="0.22547602588624169"/>
    <s v="86"/>
  </r>
  <r>
    <x v="84"/>
    <s v="Meera"/>
    <s v="Kumar"/>
    <s v="kumar.meera86@gmail.com"/>
    <x v="10"/>
    <x v="6"/>
    <x v="0"/>
    <x v="0"/>
    <d v="2020-07-03T00:00:00"/>
    <n v="4264.5"/>
    <n v="134"/>
    <n v="74.010000000000005"/>
    <n v="581360.34"/>
    <n v="4070.97"/>
    <n v="545509.98"/>
    <n v="-35850.359999999986"/>
    <n v="-6.1666332450541752"/>
    <n v="3.13"/>
    <n v="17074.462373999999"/>
    <n v="4397.5200000000004"/>
    <n v="3316.67"/>
    <x v="2"/>
    <n v="2.1871720325491566"/>
    <s v="86"/>
  </r>
  <r>
    <x v="85"/>
    <m/>
    <m/>
    <m/>
    <x v="30"/>
    <x v="8"/>
    <x v="2"/>
    <x v="5"/>
    <m/>
    <m/>
    <m/>
    <m/>
    <n v="26580457.840000015"/>
    <m/>
    <n v="29706549.489999998"/>
    <m/>
    <m/>
    <m/>
    <m/>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n v="4612"/>
    <x v="0"/>
    <s v="Tiwari"/>
    <s v="tiwari.kiran46@gmail.com"/>
    <x v="0"/>
    <x v="0"/>
    <x v="0"/>
    <x v="0"/>
    <x v="0"/>
    <n v="3665.02"/>
    <n v="183"/>
    <n v="69.17"/>
    <n v="683356.77"/>
    <n v="3614.41"/>
    <n v="661437.03"/>
    <n v="-21919.739999999991"/>
    <n v="-3.2076568144631086"/>
    <n v="1.47"/>
    <n v="9723.1243410000006"/>
    <n v="4381.91"/>
    <n v="2795.78"/>
    <x v="0"/>
    <n v="2.5708991700347612"/>
    <s v="46"/>
  </r>
  <r>
    <n v="9786"/>
    <x v="1"/>
    <s v="Reddy"/>
    <s v="reddy.rohan97@gmail.com"/>
    <x v="1"/>
    <x v="1"/>
    <x v="0"/>
    <x v="1"/>
    <x v="1"/>
    <n v="2903.15"/>
    <n v="97"/>
    <n v="90.83"/>
    <n v="290416.06"/>
    <n v="3916.02"/>
    <n v="379853.94"/>
    <n v="89437.88"/>
    <n v="30.796464906245202"/>
    <n v="0.71"/>
    <n v="2696.962974"/>
    <n v="4199.6000000000004"/>
    <n v="2370.59"/>
    <x v="1"/>
    <n v="1.0925923915537785"/>
    <s v="97"/>
  </r>
  <r>
    <n v="3665"/>
    <x v="2"/>
    <s v="Pillai"/>
    <s v="pillai.vikram36@gmail.com"/>
    <x v="2"/>
    <x v="0"/>
    <x v="0"/>
    <x v="1"/>
    <x v="2"/>
    <n v="4227.6099999999997"/>
    <n v="170"/>
    <n v="20"/>
    <n v="722093.7"/>
    <n v="5452.48"/>
    <n v="926921.6"/>
    <n v="204827.90000000002"/>
    <n v="28.365833963099252"/>
    <n v="2.9"/>
    <n v="26880.726399999996"/>
    <n v="5868.54"/>
    <n v="3620.19"/>
    <x v="1"/>
    <n v="2.7166337929414675"/>
    <s v="36"/>
  </r>
  <r>
    <n v="1917"/>
    <x v="3"/>
    <s v="Verma"/>
    <s v="verma.ananya19@gmail.com"/>
    <x v="3"/>
    <x v="1"/>
    <x v="0"/>
    <x v="1"/>
    <x v="3"/>
    <n v="1351.29"/>
    <n v="59"/>
    <n v="137.84"/>
    <n v="87858.67"/>
    <n v="1664.93"/>
    <n v="98230.87000000001"/>
    <n v="10372.200000000012"/>
    <n v="11.805550892131661"/>
    <n v="3.73"/>
    <n v="3664.0114510000003"/>
    <n v="1779.65"/>
    <n v="1168.6300000000001"/>
    <x v="0"/>
    <n v="0.3305385878936386"/>
    <s v="19"/>
  </r>
  <r>
    <n v="8020"/>
    <x v="4"/>
    <s v="Tiwari"/>
    <s v="tiwari.tanvi80@gmail.com"/>
    <x v="4"/>
    <x v="2"/>
    <x v="0"/>
    <x v="1"/>
    <x v="4"/>
    <n v="4488.5"/>
    <n v="40"/>
    <n v="81.33"/>
    <n v="182793.2"/>
    <n v="3713.21"/>
    <n v="148528.4"/>
    <n v="-34264.800000000017"/>
    <n v="-18.74511743325245"/>
    <n v="0.71"/>
    <n v="1054.5516399999999"/>
    <n v="4691.47"/>
    <n v="3320.77"/>
    <x v="0"/>
    <n v="0.68769771047705897"/>
    <s v="80"/>
  </r>
  <r>
    <n v="1189"/>
    <x v="5"/>
    <s v="Patel"/>
    <s v="patel.deepak11@gmail.com"/>
    <x v="5"/>
    <x v="3"/>
    <x v="1"/>
    <x v="1"/>
    <x v="5"/>
    <n v="2956.14"/>
    <n v="33"/>
    <n v="51.09"/>
    <n v="99238.59"/>
    <n v="2614.5100000000002"/>
    <n v="86278.83"/>
    <n v="-12959.759999999995"/>
    <n v="-13.059194009104719"/>
    <n v="0.51"/>
    <n v="440.02203300000002"/>
    <n v="3506.22"/>
    <n v="2393.65"/>
    <x v="2"/>
    <n v="0.37335169543490432"/>
    <s v="11"/>
  </r>
  <r>
    <n v="9318"/>
    <x v="6"/>
    <s v="Joshi"/>
    <s v="joshi.raj93@gmail.com"/>
    <x v="6"/>
    <x v="0"/>
    <x v="0"/>
    <x v="1"/>
    <x v="6"/>
    <n v="894.66"/>
    <n v="140"/>
    <n v="138.59"/>
    <n v="144655"/>
    <n v="1126.47"/>
    <n v="157705.80000000002"/>
    <n v="13050.800000000017"/>
    <n v="9.0220179046697435"/>
    <n v="2.7"/>
    <n v="4258.0566000000008"/>
    <n v="1177.98"/>
    <n v="745.69"/>
    <x v="1"/>
    <n v="0.54421560708526873"/>
    <s v="93"/>
  </r>
  <r>
    <n v="2134"/>
    <x v="7"/>
    <s v="Mishra"/>
    <s v="mishra.gaurav21@gmail.com"/>
    <x v="7"/>
    <x v="4"/>
    <x v="1"/>
    <x v="2"/>
    <x v="7"/>
    <n v="3036.93"/>
    <n v="145"/>
    <n v="33.119999999999997"/>
    <n v="445157.25"/>
    <n v="3639.83"/>
    <n v="527775.35"/>
    <n v="82618.099999999977"/>
    <n v="18.559306851679935"/>
    <n v="3.23"/>
    <n v="17047.143805"/>
    <n v="4519.95"/>
    <n v="2926.54"/>
    <x v="1"/>
    <n v="1.6747538837728302"/>
    <s v="21"/>
  </r>
  <r>
    <n v="8398"/>
    <x v="1"/>
    <s v="Rao"/>
    <s v="rao.rohan83@gmail.com"/>
    <x v="8"/>
    <x v="0"/>
    <x v="1"/>
    <x v="0"/>
    <x v="8"/>
    <n v="290.45"/>
    <n v="146"/>
    <n v="42.22"/>
    <n v="48569.82"/>
    <n v="272.20999999999998"/>
    <n v="39742.659999999996"/>
    <n v="-8827.1600000000035"/>
    <n v="-18.174166591517128"/>
    <n v="0.82"/>
    <n v="325.88981199999995"/>
    <n v="338.42"/>
    <n v="218.49"/>
    <x v="1"/>
    <n v="0.1827275522956153"/>
    <s v="83"/>
  </r>
  <r>
    <n v="3168"/>
    <x v="8"/>
    <s v="Tiwari"/>
    <s v="tiwari.mohit31@gmail.com"/>
    <x v="9"/>
    <x v="5"/>
    <x v="0"/>
    <x v="3"/>
    <x v="9"/>
    <n v="3573.86"/>
    <n v="109"/>
    <n v="36.659999999999997"/>
    <n v="393546.68"/>
    <n v="2974.85"/>
    <n v="324258.64999999997"/>
    <n v="-69288.030000000028"/>
    <n v="-17.606051205920483"/>
    <n v="2.44"/>
    <n v="7911.9110599999995"/>
    <n v="3993.51"/>
    <n v="2550.6799999999998"/>
    <x v="1"/>
    <n v="1.4805865360519306"/>
    <s v="31"/>
  </r>
  <r>
    <n v="4873"/>
    <x v="9"/>
    <s v="Chopra"/>
    <s v="chopra.neha48@gmail.com"/>
    <x v="10"/>
    <x v="6"/>
    <x v="0"/>
    <x v="3"/>
    <x v="10"/>
    <n v="3918"/>
    <n v="20"/>
    <n v="33.049999999999997"/>
    <n v="79021"/>
    <n v="2945.68"/>
    <n v="58913.599999999999"/>
    <n v="-20107.400000000001"/>
    <n v="-25.445641032130702"/>
    <n v="2.2599999999999998"/>
    <n v="1331.4473599999997"/>
    <n v="4831.28"/>
    <n v="2741.19"/>
    <x v="1"/>
    <n v="0.29728983780363644"/>
    <s v="48"/>
  </r>
  <r>
    <n v="4854"/>
    <x v="10"/>
    <s v="Patel"/>
    <s v="patel.amit48@gmail.com"/>
    <x v="11"/>
    <x v="2"/>
    <x v="1"/>
    <x v="2"/>
    <x v="11"/>
    <n v="2756.43"/>
    <n v="163"/>
    <n v="21.48"/>
    <n v="452799.32999999996"/>
    <n v="3607.53"/>
    <n v="588027.39"/>
    <n v="135228.06000000006"/>
    <n v="29.864898430834707"/>
    <n v="3.04"/>
    <n v="17876.032655999999"/>
    <n v="3942.18"/>
    <n v="2232.64"/>
    <x v="1"/>
    <n v="1.7035046300767545"/>
    <s v="48"/>
  </r>
  <r>
    <n v="2189"/>
    <x v="11"/>
    <s v="Malhotra"/>
    <s v="malhotra.aarav21@gmail.com"/>
    <x v="12"/>
    <x v="3"/>
    <x v="1"/>
    <x v="0"/>
    <x v="12"/>
    <n v="2511.83"/>
    <n v="134"/>
    <n v="47.13"/>
    <n v="342900.63999999996"/>
    <n v="3876.43"/>
    <n v="519441.62"/>
    <n v="176540.98000000004"/>
    <n v="51.484587488667287"/>
    <n v="4.46"/>
    <n v="23167.096252000003"/>
    <n v="4737.8999999999996"/>
    <n v="2097.36"/>
    <x v="1"/>
    <n v="1.2900479068647968"/>
    <s v="21"/>
  </r>
  <r>
    <n v="9667"/>
    <x v="11"/>
    <s v="Mishra"/>
    <s v="mishra.aarav96@gmail.com"/>
    <x v="13"/>
    <x v="7"/>
    <x v="0"/>
    <x v="0"/>
    <x v="13"/>
    <n v="777.45"/>
    <n v="34"/>
    <n v="134.56"/>
    <n v="31008.340000000004"/>
    <n v="1073.7"/>
    <n v="36505.800000000003"/>
    <n v="5497.4599999999991"/>
    <n v="17.728972270040895"/>
    <n v="1.2"/>
    <n v="438.06959999999998"/>
    <n v="1164.75"/>
    <n v="620.75"/>
    <x v="1"/>
    <n v="0.11665841193049964"/>
    <s v="96"/>
  </r>
  <r>
    <n v="7050"/>
    <x v="12"/>
    <s v="Mishra"/>
    <s v="mishra.sanjay70@gmail.com"/>
    <x v="6"/>
    <x v="0"/>
    <x v="0"/>
    <x v="3"/>
    <x v="14"/>
    <n v="379.86"/>
    <n v="98"/>
    <n v="135.86000000000001"/>
    <n v="50540.56"/>
    <n v="541.95000000000005"/>
    <n v="53111.100000000006"/>
    <n v="2570.5400000000081"/>
    <n v="5.0860932288839065"/>
    <n v="4.37"/>
    <n v="2320.9550700000004"/>
    <n v="664.84"/>
    <n v="303.25"/>
    <x v="1"/>
    <n v="0.19014179629345304"/>
    <s v="70"/>
  </r>
  <r>
    <n v="3533"/>
    <x v="13"/>
    <s v="Rao"/>
    <s v="rao.simran35@gmail.com"/>
    <x v="14"/>
    <x v="2"/>
    <x v="0"/>
    <x v="2"/>
    <x v="15"/>
    <n v="3686.32"/>
    <n v="110"/>
    <n v="13.47"/>
    <n v="406976.9"/>
    <n v="5072.67"/>
    <n v="557993.69999999995"/>
    <n v="151016.79999999993"/>
    <n v="37.106970936188247"/>
    <n v="1.99"/>
    <n v="11104.074629999999"/>
    <n v="6260.12"/>
    <n v="3444.92"/>
    <x v="1"/>
    <n v="1.5311132052343903"/>
    <s v="35"/>
  </r>
  <r>
    <n v="4645"/>
    <x v="14"/>
    <s v="Malhotra"/>
    <s v="malhotra.priya46@gmail.com"/>
    <x v="15"/>
    <x v="2"/>
    <x v="0"/>
    <x v="1"/>
    <x v="16"/>
    <n v="3619.99"/>
    <n v="63"/>
    <n v="41.21"/>
    <n v="230655.6"/>
    <n v="4745.91"/>
    <n v="298992.33"/>
    <n v="68336.73000000001"/>
    <n v="29.627171419206821"/>
    <n v="2.29"/>
    <n v="6846.9243569999999"/>
    <n v="5144.9399999999996"/>
    <n v="2772.79"/>
    <x v="1"/>
    <n v="0.86776383382266031"/>
    <s v="46"/>
  </r>
  <r>
    <n v="4229"/>
    <x v="2"/>
    <s v="Chopra"/>
    <s v="chopra.vikram42@gmail.com"/>
    <x v="1"/>
    <x v="1"/>
    <x v="0"/>
    <x v="1"/>
    <x v="17"/>
    <n v="1549.84"/>
    <n v="36"/>
    <n v="110.77"/>
    <n v="59781.96"/>
    <n v="1558.01"/>
    <n v="56088.36"/>
    <n v="-3693.5999999999985"/>
    <n v="-6.178452496371813"/>
    <n v="1.89"/>
    <n v="1060.0700039999999"/>
    <n v="1735.51"/>
    <n v="1305.82"/>
    <x v="1"/>
    <n v="0.22490944422347831"/>
    <s v="42"/>
  </r>
  <r>
    <n v="3852"/>
    <x v="6"/>
    <s v="Tiwari"/>
    <s v="tiwari.raj38@gmail.com"/>
    <x v="13"/>
    <x v="7"/>
    <x v="0"/>
    <x v="3"/>
    <x v="18"/>
    <n v="3785.02"/>
    <n v="82"/>
    <n v="50.17"/>
    <n v="314485.58"/>
    <n v="4221.83"/>
    <n v="346190.06"/>
    <n v="31704.479999999981"/>
    <n v="10.081377976058546"/>
    <n v="3.11"/>
    <n v="10766.510866000001"/>
    <n v="4942"/>
    <n v="3243.56"/>
    <x v="0"/>
    <n v="1.1831458355346367"/>
    <s v="38"/>
  </r>
  <r>
    <n v="2390"/>
    <x v="15"/>
    <s v="Pandey"/>
    <s v="pandey.divya23@gmail.com"/>
    <x v="5"/>
    <x v="3"/>
    <x v="1"/>
    <x v="1"/>
    <x v="19"/>
    <n v="3719.22"/>
    <n v="197"/>
    <n v="42.88"/>
    <n v="741133.7"/>
    <n v="3770.76"/>
    <n v="742839.72000000009"/>
    <n v="1706.020000000135"/>
    <n v="0.2301905850456045"/>
    <n v="4.13"/>
    <n v="30679.280436000005"/>
    <n v="3973.97"/>
    <n v="2828.95"/>
    <x v="0"/>
    <n v="2.7882653657104939"/>
    <s v="23"/>
  </r>
  <r>
    <n v="7292"/>
    <x v="16"/>
    <s v="Reddy"/>
    <s v="reddy.meera72@gmail.com"/>
    <x v="8"/>
    <x v="0"/>
    <x v="1"/>
    <x v="2"/>
    <x v="20"/>
    <n v="3156.78"/>
    <n v="197"/>
    <n v="130.46"/>
    <n v="647586.28"/>
    <n v="4743.5200000000004"/>
    <n v="934473.44000000006"/>
    <n v="286887.16000000003"/>
    <n v="44.300994147065623"/>
    <n v="4"/>
    <n v="37378.937600000005"/>
    <n v="5077.1499999999996"/>
    <n v="2951.42"/>
    <x v="2"/>
    <n v="2.4363247762627691"/>
    <s v="72"/>
  </r>
  <r>
    <n v="8613"/>
    <x v="5"/>
    <s v="Pandey"/>
    <s v="pandey.deepak86@gmail.com"/>
    <x v="16"/>
    <x v="5"/>
    <x v="1"/>
    <x v="1"/>
    <x v="21"/>
    <n v="4033.13"/>
    <n v="161"/>
    <n v="124.1"/>
    <n v="669314.03"/>
    <n v="6082.84"/>
    <n v="979337.24"/>
    <n v="310023.20999999996"/>
    <n v="46.319544504393548"/>
    <n v="2.42"/>
    <n v="23699.961207999997"/>
    <n v="7473.23"/>
    <n v="3438.49"/>
    <x v="1"/>
    <n v="2.5180681011174024"/>
    <s v="86"/>
  </r>
  <r>
    <n v="9541"/>
    <x v="16"/>
    <s v="Rao"/>
    <s v="rao.meera95@gmail.com"/>
    <x v="0"/>
    <x v="0"/>
    <x v="0"/>
    <x v="3"/>
    <x v="22"/>
    <n v="3268.24"/>
    <n v="65"/>
    <n v="48.04"/>
    <n v="215558.19999999998"/>
    <n v="3339.33"/>
    <n v="217056.44999999998"/>
    <n v="1498.25"/>
    <n v="0.69505590601517375"/>
    <n v="2.93"/>
    <n v="6359.7539850000003"/>
    <n v="3512.39"/>
    <n v="2625.02"/>
    <x v="1"/>
    <n v="0.81096496267123697"/>
    <s v="95"/>
  </r>
  <r>
    <n v="4389"/>
    <x v="17"/>
    <s v="Chopra"/>
    <s v="chopra.shruti43@gmail.com"/>
    <x v="4"/>
    <x v="2"/>
    <x v="0"/>
    <x v="0"/>
    <x v="23"/>
    <n v="3986.82"/>
    <n v="152"/>
    <n v="63.25"/>
    <n v="615610.64"/>
    <n v="3010.1"/>
    <n v="457535.2"/>
    <n v="-158075.44"/>
    <n v="-25.677827790630779"/>
    <n v="2.08"/>
    <n v="9516.7321599999996"/>
    <n v="4757.47"/>
    <n v="2848.44"/>
    <x v="0"/>
    <n v="2.3160272246085571"/>
    <s v="43"/>
  </r>
  <r>
    <n v="5472"/>
    <x v="18"/>
    <s v="Saxena"/>
    <s v="saxena.suresh54@gmail.com"/>
    <x v="17"/>
    <x v="3"/>
    <x v="0"/>
    <x v="3"/>
    <x v="24"/>
    <n v="3076.16"/>
    <n v="108"/>
    <n v="111.39"/>
    <n v="344255.39999999997"/>
    <n v="4504.82"/>
    <n v="486520.55999999994"/>
    <n v="142265.15999999997"/>
    <n v="41.325469404401495"/>
    <n v="4.6399999999999997"/>
    <n v="22574.553983999995"/>
    <n v="5611.05"/>
    <n v="2685.02"/>
    <x v="0"/>
    <n v="1.295144734045709"/>
    <s v="54"/>
  </r>
  <r>
    <n v="3978"/>
    <x v="19"/>
    <s v="Nair"/>
    <s v="nair.vivaan39@gmail.com"/>
    <x v="4"/>
    <x v="2"/>
    <x v="0"/>
    <x v="1"/>
    <x v="25"/>
    <n v="2155.21"/>
    <n v="91"/>
    <n v="116.57"/>
    <n v="206731.98"/>
    <n v="2310.94"/>
    <n v="210295.54"/>
    <n v="3563.5599999999977"/>
    <n v="1.72375846252718"/>
    <n v="3.88"/>
    <n v="8159.4669519999998"/>
    <n v="2799.34"/>
    <n v="1741.46"/>
    <x v="1"/>
    <n v="0.7777592893411196"/>
    <s v="39"/>
  </r>
  <r>
    <n v="2125"/>
    <x v="7"/>
    <s v="Verma"/>
    <s v="verma.gaurav21@gmail.com"/>
    <x v="7"/>
    <x v="4"/>
    <x v="1"/>
    <x v="0"/>
    <x v="26"/>
    <n v="1057.25"/>
    <n v="10"/>
    <n v="96.99"/>
    <n v="11542.4"/>
    <n v="1007.31"/>
    <n v="10073.099999999999"/>
    <n v="-1469.3000000000011"/>
    <n v="-12.729588300526764"/>
    <n v="2.63"/>
    <n v="264.92252999999994"/>
    <n v="1106.21"/>
    <n v="975.06"/>
    <x v="0"/>
    <n v="4.3424383693761059E-2"/>
    <s v="21"/>
  </r>
  <r>
    <n v="2877"/>
    <x v="7"/>
    <s v="Mehta"/>
    <s v="mehta.gaurav28@gmail.com"/>
    <x v="13"/>
    <x v="7"/>
    <x v="0"/>
    <x v="0"/>
    <x v="11"/>
    <n v="310.42"/>
    <n v="84"/>
    <n v="90.61"/>
    <n v="33686.520000000004"/>
    <n v="472.4"/>
    <n v="39681.599999999999"/>
    <n v="5995.0799999999945"/>
    <n v="17.796673565568639"/>
    <n v="2.19"/>
    <n v="869.02703999999994"/>
    <n v="584.14"/>
    <n v="246.98"/>
    <x v="2"/>
    <n v="0.12673416012160002"/>
    <s v="28"/>
  </r>
  <r>
    <n v="2984"/>
    <x v="20"/>
    <s v="Tiwari"/>
    <s v="tiwari.riya29@gmail.com"/>
    <x v="3"/>
    <x v="1"/>
    <x v="0"/>
    <x v="0"/>
    <x v="27"/>
    <n v="2490.8000000000002"/>
    <n v="174"/>
    <n v="61.88"/>
    <n v="444166.32"/>
    <n v="2939.31"/>
    <n v="511439.94"/>
    <n v="67273.62"/>
    <n v="15.146042590532302"/>
    <n v="2.04"/>
    <n v="10433.374776000001"/>
    <n v="3572.44"/>
    <n v="2339.1999999999998"/>
    <x v="1"/>
    <n v="1.6710258441507708"/>
    <s v="29"/>
  </r>
  <r>
    <n v="3886"/>
    <x v="8"/>
    <s v="Pandey"/>
    <s v="pandey.mohit38@gmail.com"/>
    <x v="18"/>
    <x v="3"/>
    <x v="0"/>
    <x v="1"/>
    <x v="28"/>
    <n v="3675.26"/>
    <n v="142"/>
    <n v="118.45"/>
    <n v="538706.82000000007"/>
    <n v="4208.7"/>
    <n v="597635.4"/>
    <n v="58928.579999999958"/>
    <n v="10.938896225594462"/>
    <n v="4.22"/>
    <n v="25220.213879999999"/>
    <n v="4866.3900000000003"/>
    <n v="3028.89"/>
    <x v="1"/>
    <n v="2.0267025618697914"/>
    <s v="38"/>
  </r>
  <r>
    <n v="7210"/>
    <x v="21"/>
    <s v="Sharma"/>
    <s v="sharma.rahul72@gmail.com"/>
    <x v="10"/>
    <x v="6"/>
    <x v="0"/>
    <x v="1"/>
    <x v="29"/>
    <n v="2296.46"/>
    <n v="95"/>
    <n v="121.7"/>
    <n v="229725.2"/>
    <n v="2386.6799999999998"/>
    <n v="226734.59999999998"/>
    <n v="-2990.6000000000349"/>
    <n v="-1.3018162569887999"/>
    <n v="4.46"/>
    <n v="10112.363159999999"/>
    <n v="2819.32"/>
    <n v="1868.27"/>
    <x v="1"/>
    <n v="0.86426351789281253"/>
    <s v="72"/>
  </r>
  <r>
    <n v="4938"/>
    <x v="22"/>
    <s v="Saxena"/>
    <s v="saxena.nitin49@gmail.com"/>
    <x v="18"/>
    <x v="3"/>
    <x v="0"/>
    <x v="3"/>
    <x v="30"/>
    <n v="3609.61"/>
    <n v="28"/>
    <n v="51.19"/>
    <n v="102502.40000000001"/>
    <n v="3947.98"/>
    <n v="110543.44"/>
    <n v="8041.0399999999936"/>
    <n v="7.8447333916083846"/>
    <n v="1.59"/>
    <n v="1757.6406960000002"/>
    <n v="4629.84"/>
    <n v="3013.57"/>
    <x v="2"/>
    <n v="0.3856306788130176"/>
    <s v="49"/>
  </r>
  <r>
    <n v="5439"/>
    <x v="15"/>
    <s v="Nair"/>
    <s v="nair.divya54@gmail.com"/>
    <x v="8"/>
    <x v="0"/>
    <x v="1"/>
    <x v="0"/>
    <x v="31"/>
    <n v="1028.1099999999999"/>
    <n v="35"/>
    <n v="114"/>
    <n v="39973.85"/>
    <n v="1602.05"/>
    <n v="56071.75"/>
    <n v="16097.900000000001"/>
    <n v="40.271077216730447"/>
    <n v="3.61"/>
    <n v="2024.190175"/>
    <n v="1704.67"/>
    <n v="945.74"/>
    <x v="1"/>
    <n v="0.15038811686623668"/>
    <s v="54"/>
  </r>
  <r>
    <n v="1842"/>
    <x v="23"/>
    <s v="Saxena"/>
    <s v="saxena.pooja18@gmail.com"/>
    <x v="19"/>
    <x v="0"/>
    <x v="0"/>
    <x v="0"/>
    <x v="32"/>
    <n v="2314.5100000000002"/>
    <n v="152"/>
    <n v="98.12"/>
    <n v="366719.76"/>
    <n v="1841.35"/>
    <n v="279885.2"/>
    <n v="-86834.559999999998"/>
    <n v="-23.678724048030571"/>
    <n v="1.17"/>
    <n v="3274.6568400000001"/>
    <n v="2660.42"/>
    <n v="1509.69"/>
    <x v="1"/>
    <n v="1.3796593053718438"/>
    <s v="18"/>
  </r>
  <r>
    <n v="9562"/>
    <x v="10"/>
    <s v="Malhotra"/>
    <s v="malhotra.amit95@gmail.com"/>
    <x v="20"/>
    <x v="6"/>
    <x v="0"/>
    <x v="3"/>
    <x v="33"/>
    <n v="3898.72"/>
    <n v="114"/>
    <n v="52.75"/>
    <n v="450467.57999999996"/>
    <n v="4982.07"/>
    <n v="567955.98"/>
    <n v="117488.40000000002"/>
    <n v="26.081432985698999"/>
    <n v="3.24"/>
    <n v="18401.773752000001"/>
    <n v="5929.76"/>
    <n v="3773.75"/>
    <x v="1"/>
    <n v="1.6947322078181317"/>
    <s v="95"/>
  </r>
  <r>
    <n v="3565"/>
    <x v="11"/>
    <s v="Chopra"/>
    <s v="chopra.aarav35@gmail.com"/>
    <x v="21"/>
    <x v="6"/>
    <x v="1"/>
    <x v="3"/>
    <x v="34"/>
    <n v="340.35"/>
    <n v="78"/>
    <n v="108.97"/>
    <n v="35046.960000000006"/>
    <n v="458.64"/>
    <n v="35773.919999999998"/>
    <n v="726.95999999999185"/>
    <n v="2.0742455265734652"/>
    <n v="2.54"/>
    <n v="908.65756800000008"/>
    <n v="540.32000000000005"/>
    <n v="327.58999999999997"/>
    <x v="2"/>
    <n v="0.13185235638514489"/>
    <s v="35"/>
  </r>
  <r>
    <n v="8079"/>
    <x v="8"/>
    <s v="Iyer"/>
    <s v="iyer.mohit80@gmail.com"/>
    <x v="12"/>
    <x v="3"/>
    <x v="1"/>
    <x v="1"/>
    <x v="35"/>
    <n v="592.71"/>
    <n v="177"/>
    <n v="127.03"/>
    <n v="127393.98000000001"/>
    <n v="734.32"/>
    <n v="129974.64000000001"/>
    <n v="2580.6600000000035"/>
    <n v="2.0257315141578931"/>
    <n v="4.78"/>
    <n v="6212.787792000001"/>
    <n v="917.83"/>
    <n v="536.17999999999995"/>
    <x v="1"/>
    <n v="0.47927684604547777"/>
    <s v="80"/>
  </r>
  <r>
    <n v="5136"/>
    <x v="21"/>
    <s v="Patel"/>
    <s v="patel.rahul51@gmail.com"/>
    <x v="7"/>
    <x v="4"/>
    <x v="1"/>
    <x v="3"/>
    <x v="36"/>
    <n v="2412.7600000000002"/>
    <n v="5"/>
    <n v="102.07"/>
    <n v="12574.150000000001"/>
    <n v="2922.35"/>
    <n v="14611.75"/>
    <n v="2037.5999999999985"/>
    <n v="16.204673874575999"/>
    <n v="2.36"/>
    <n v="344.83729999999997"/>
    <n v="3106.88"/>
    <n v="2010.33"/>
    <x v="0"/>
    <n v="4.7305994786431389E-2"/>
    <s v="51"/>
  </r>
  <r>
    <n v="8179"/>
    <x v="4"/>
    <s v="Saxena"/>
    <s v="saxena.tanvi81@gmail.com"/>
    <x v="19"/>
    <x v="0"/>
    <x v="0"/>
    <x v="0"/>
    <x v="37"/>
    <n v="2818.15"/>
    <n v="66"/>
    <n v="109.37"/>
    <n v="193216.32"/>
    <n v="2857.99"/>
    <n v="188627.34"/>
    <n v="-4588.9800000000105"/>
    <n v="-2.3750478220473354"/>
    <n v="0.56000000000000005"/>
    <n v="1056.3131040000001"/>
    <n v="3183.34"/>
    <n v="2259.2600000000002"/>
    <x v="1"/>
    <n v="0.72691118100018359"/>
    <s v="81"/>
  </r>
  <r>
    <n v="9338"/>
    <x v="22"/>
    <s v="Nair"/>
    <s v="nair.nitin93@gmail.com"/>
    <x v="22"/>
    <x v="6"/>
    <x v="0"/>
    <x v="3"/>
    <x v="38"/>
    <n v="1248.04"/>
    <n v="146"/>
    <n v="30.25"/>
    <n v="186630.34"/>
    <n v="1138.24"/>
    <n v="166183.04000000001"/>
    <n v="-20447.299999999988"/>
    <n v="-10.956042838479526"/>
    <n v="3.2"/>
    <n v="5317.8572800000002"/>
    <n v="1487.22"/>
    <n v="889.42"/>
    <x v="1"/>
    <n v="0.70213365444423015"/>
    <s v="93"/>
  </r>
  <r>
    <n v="1043"/>
    <x v="15"/>
    <s v="Kumar"/>
    <s v="kumar.divya10@gmail.com"/>
    <x v="23"/>
    <x v="1"/>
    <x v="1"/>
    <x v="3"/>
    <x v="39"/>
    <n v="838.96"/>
    <n v="142"/>
    <n v="77.81"/>
    <n v="130181.34000000001"/>
    <n v="866.29"/>
    <n v="123013.18"/>
    <n v="-7168.160000000018"/>
    <n v="-5.5062883820369475"/>
    <n v="3.93"/>
    <n v="4834.417974"/>
    <n v="958.77"/>
    <n v="809.22"/>
    <x v="1"/>
    <n v="0.48976334713126946"/>
    <s v="10"/>
  </r>
  <r>
    <n v="6214"/>
    <x v="8"/>
    <s v="Saxena"/>
    <s v="saxena.mohit62@gmail.com"/>
    <x v="24"/>
    <x v="4"/>
    <x v="0"/>
    <x v="3"/>
    <x v="40"/>
    <n v="4450.18"/>
    <n v="171"/>
    <n v="147.31"/>
    <n v="786170.79"/>
    <n v="5211.29"/>
    <n v="891130.59"/>
    <n v="104959.79999999993"/>
    <n v="13.350763133796912"/>
    <n v="0.67"/>
    <n v="5970.5749530000003"/>
    <n v="5917.56"/>
    <n v="3941.71"/>
    <x v="1"/>
    <n v="2.9577022139058822"/>
    <s v="62"/>
  </r>
  <r>
    <n v="7718"/>
    <x v="24"/>
    <s v="Gupta"/>
    <s v="gupta.kavya77@gmail.com"/>
    <x v="1"/>
    <x v="1"/>
    <x v="0"/>
    <x v="3"/>
    <x v="41"/>
    <n v="4367.58"/>
    <n v="91"/>
    <n v="97.26"/>
    <n v="406300.43999999994"/>
    <n v="4751.32"/>
    <n v="432370.12"/>
    <n v="26069.680000000051"/>
    <n v="6.4163553453203388"/>
    <n v="0.86"/>
    <n v="3718.3830319999997"/>
    <n v="5205.3999999999996"/>
    <n v="3953.11"/>
    <x v="2"/>
    <n v="1.5285682528333744"/>
    <s v="77"/>
  </r>
  <r>
    <n v="3386"/>
    <x v="3"/>
    <s v="Pandey"/>
    <s v="pandey.ananya33@gmail.com"/>
    <x v="22"/>
    <x v="6"/>
    <x v="0"/>
    <x v="2"/>
    <x v="42"/>
    <n v="952.8"/>
    <n v="161"/>
    <n v="131.91999999999999"/>
    <n v="174639.91999999998"/>
    <n v="1216.49"/>
    <n v="195854.89"/>
    <n v="21214.97000000003"/>
    <n v="12.147835386090438"/>
    <n v="1.58"/>
    <n v="3094.5072620000005"/>
    <n v="1496.22"/>
    <n v="745.96"/>
    <x v="0"/>
    <n v="0.65702374673618447"/>
    <s v="33"/>
  </r>
  <r>
    <n v="5713"/>
    <x v="5"/>
    <s v="Mishra"/>
    <s v="mishra.deepak57@gmail.com"/>
    <x v="25"/>
    <x v="1"/>
    <x v="1"/>
    <x v="0"/>
    <x v="43"/>
    <n v="4264.51"/>
    <n v="155"/>
    <n v="51.88"/>
    <n v="669040.45000000007"/>
    <n v="6685.58"/>
    <n v="1036264.9"/>
    <n v="367224.44999999995"/>
    <n v="54.888228357493176"/>
    <n v="3.61"/>
    <n v="37409.16289"/>
    <n v="7521.76"/>
    <n v="3494.71"/>
    <x v="0"/>
    <n v="2.5170388487183399"/>
    <s v="57"/>
  </r>
  <r>
    <n v="5838"/>
    <x v="11"/>
    <s v="Reddy"/>
    <s v="reddy.aarav58@gmail.com"/>
    <x v="0"/>
    <x v="0"/>
    <x v="0"/>
    <x v="0"/>
    <x v="44"/>
    <n v="3919.79"/>
    <n v="195"/>
    <n v="146.30000000000001"/>
    <n v="792887.55"/>
    <n v="5973.86"/>
    <n v="1164902.7"/>
    <n v="372015.14999999991"/>
    <n v="46.919030321512793"/>
    <n v="3.85"/>
    <n v="44848.753949999998"/>
    <n v="7237.65"/>
    <n v="3753.89"/>
    <x v="1"/>
    <n v="2.9829717560651301"/>
    <s v="58"/>
  </r>
  <r>
    <n v="3241"/>
    <x v="25"/>
    <s v="Patel"/>
    <s v="patel.harish32@gmail.com"/>
    <x v="11"/>
    <x v="2"/>
    <x v="1"/>
    <x v="0"/>
    <x v="45"/>
    <n v="3591.03"/>
    <n v="13"/>
    <n v="91.14"/>
    <n v="47868.21"/>
    <n v="4928.71"/>
    <n v="64073.23"/>
    <n v="16205.020000000004"/>
    <n v="33.853407094186316"/>
    <n v="0.91"/>
    <n v="583.06639300000006"/>
    <n v="5361.82"/>
    <n v="3310.64"/>
    <x v="1"/>
    <n v="0.18008798150935074"/>
    <s v="32"/>
  </r>
  <r>
    <n v="9792"/>
    <x v="1"/>
    <s v="Malhotra"/>
    <s v="malhotra.rohan97@gmail.com"/>
    <x v="15"/>
    <x v="2"/>
    <x v="0"/>
    <x v="1"/>
    <x v="46"/>
    <n v="1838.41"/>
    <n v="168"/>
    <n v="141.63999999999999"/>
    <n v="332648.40000000002"/>
    <n v="1548.11"/>
    <n v="260082.47999999998"/>
    <n v="-72565.920000000042"/>
    <n v="-21.814600641397956"/>
    <n v="1.55"/>
    <n v="4031.27844"/>
    <n v="1885.76"/>
    <n v="1475.93"/>
    <x v="2"/>
    <n v="1.2514773146586244"/>
    <s v="97"/>
  </r>
  <r>
    <n v="5952"/>
    <x v="25"/>
    <s v="Chopra"/>
    <s v="chopra.harish59@gmail.com"/>
    <x v="19"/>
    <x v="0"/>
    <x v="0"/>
    <x v="2"/>
    <x v="47"/>
    <n v="4268.92"/>
    <n v="82"/>
    <n v="149.43"/>
    <n v="362304.7"/>
    <n v="3623.04"/>
    <n v="297089.27999999997"/>
    <n v="-65215.420000000042"/>
    <n v="-18.000158430183223"/>
    <n v="1.56"/>
    <n v="4634.5927679999995"/>
    <n v="4882.09"/>
    <n v="3041.14"/>
    <x v="1"/>
    <n v="1.3630491324900362"/>
    <s v="59"/>
  </r>
  <r>
    <n v="3532"/>
    <x v="4"/>
    <s v="Chopra"/>
    <s v="chopra.tanvi35@gmail.com"/>
    <x v="18"/>
    <x v="3"/>
    <x v="0"/>
    <x v="0"/>
    <x v="48"/>
    <n v="2304.19"/>
    <n v="109"/>
    <n v="141.47"/>
    <n v="266576.94"/>
    <n v="2276.0300000000002"/>
    <n v="248087.27000000002"/>
    <n v="-18489.669999999984"/>
    <n v="-6.9359600271501289"/>
    <n v="3.61"/>
    <n v="8955.9504470000011"/>
    <n v="2465.42"/>
    <n v="1939.81"/>
    <x v="1"/>
    <n v="1.0029057497980247"/>
    <s v="35"/>
  </r>
  <r>
    <n v="6877"/>
    <x v="19"/>
    <s v="Reddy"/>
    <s v="reddy.vivaan68@gmail.com"/>
    <x v="0"/>
    <x v="0"/>
    <x v="0"/>
    <x v="2"/>
    <x v="49"/>
    <n v="4280.75"/>
    <n v="121"/>
    <n v="22.83"/>
    <n v="520733.18"/>
    <n v="3982.34"/>
    <n v="481863.14"/>
    <n v="-38870.039999999979"/>
    <n v="-7.4644830582910009"/>
    <n v="3.38"/>
    <n v="16286.974132000001"/>
    <n v="5322.48"/>
    <n v="3033.08"/>
    <x v="1"/>
    <n v="1.959082808635322"/>
    <s v="68"/>
  </r>
  <r>
    <n v="4395"/>
    <x v="12"/>
    <s v="Joshi"/>
    <s v="joshi.sanjay43@gmail.com"/>
    <x v="23"/>
    <x v="1"/>
    <x v="1"/>
    <x v="2"/>
    <x v="50"/>
    <n v="3529.78"/>
    <n v="157"/>
    <n v="10.4"/>
    <n v="555808.26000000013"/>
    <n v="5222.82"/>
    <n v="819982.74"/>
    <n v="264174.47999999986"/>
    <n v="47.529786621019241"/>
    <n v="1.1499999999999999"/>
    <n v="9429.8015099999993"/>
    <n v="5483.43"/>
    <n v="2850.83"/>
    <x v="1"/>
    <n v="2.0910409570281496"/>
    <s v="43"/>
  </r>
  <r>
    <n v="6305"/>
    <x v="11"/>
    <s v="Mehta"/>
    <s v="mehta.aarav63@gmail.com"/>
    <x v="0"/>
    <x v="0"/>
    <x v="0"/>
    <x v="4"/>
    <x v="51"/>
    <n v="3389.39"/>
    <n v="139"/>
    <n v="25.91"/>
    <n v="474726.69999999995"/>
    <n v="2725.15"/>
    <n v="378795.85000000003"/>
    <n v="-95930.849999999919"/>
    <n v="-20.207595233215223"/>
    <n v="2.52"/>
    <n v="9545.655420000001"/>
    <n v="3739.41"/>
    <n v="2415.96"/>
    <x v="0"/>
    <n v="1.7859989577967319"/>
    <s v="63"/>
  </r>
  <r>
    <n v="9544"/>
    <x v="15"/>
    <s v="Malhotra"/>
    <s v="malhotra.divya95@gmail.com"/>
    <x v="18"/>
    <x v="3"/>
    <x v="0"/>
    <x v="0"/>
    <x v="52"/>
    <n v="4493.92"/>
    <n v="107"/>
    <n v="69.680000000000007"/>
    <n v="488305.2"/>
    <n v="3782.84"/>
    <n v="404763.88"/>
    <n v="-83541.320000000007"/>
    <n v="-17.108423174686653"/>
    <n v="3.71"/>
    <n v="15016.739948"/>
    <n v="5042.2700000000004"/>
    <n v="3619.54"/>
    <x v="1"/>
    <n v="1.8370834804251053"/>
    <s v="95"/>
  </r>
  <r>
    <n v="6328"/>
    <x v="10"/>
    <s v="Shah"/>
    <s v="shah.amit63@gmail.com"/>
    <x v="26"/>
    <x v="6"/>
    <x v="0"/>
    <x v="1"/>
    <x v="53"/>
    <n v="2373.87"/>
    <n v="115"/>
    <n v="23.88"/>
    <n v="275741.25"/>
    <n v="3196.45"/>
    <n v="367591.75"/>
    <n v="91850.5"/>
    <n v="33.310395162131165"/>
    <n v="4.34"/>
    <n v="15953.481949999998"/>
    <n v="3738.92"/>
    <n v="2200.25"/>
    <x v="1"/>
    <n v="1.037383372625909"/>
    <s v="63"/>
  </r>
  <r>
    <n v="2558"/>
    <x v="21"/>
    <s v="Chopra"/>
    <s v="chopra.rahul25@gmail.com"/>
    <x v="27"/>
    <x v="7"/>
    <x v="1"/>
    <x v="1"/>
    <x v="54"/>
    <n v="4300.45"/>
    <n v="180"/>
    <n v="139.22"/>
    <n v="799140.6"/>
    <n v="3470.74"/>
    <n v="624733.19999999995"/>
    <n v="-174407.40000000002"/>
    <n v="-21.824369829289118"/>
    <n v="4.24"/>
    <n v="26488.687680000003"/>
    <n v="4478.67"/>
    <n v="2680.14"/>
    <x v="1"/>
    <n v="3.0064967458814831"/>
    <s v="25"/>
  </r>
  <r>
    <n v="3003"/>
    <x v="18"/>
    <s v="Pillai"/>
    <s v="pillai.suresh30@gmail.com"/>
    <x v="14"/>
    <x v="2"/>
    <x v="0"/>
    <x v="3"/>
    <x v="55"/>
    <n v="4138.13"/>
    <n v="18"/>
    <n v="145.58000000000001"/>
    <n v="77106.78"/>
    <n v="5215.49"/>
    <n v="93878.819999999992"/>
    <n v="16772.039999999994"/>
    <n v="21.751705881117061"/>
    <n v="2.08"/>
    <n v="1952.6794559999998"/>
    <n v="6013.05"/>
    <n v="3306.08"/>
    <x v="0"/>
    <n v="0.29008823122664451"/>
    <s v="30"/>
  </r>
  <r>
    <n v="4706"/>
    <x v="20"/>
    <s v="Chopra"/>
    <s v="chopra.riya47@gmail.com"/>
    <x v="14"/>
    <x v="2"/>
    <x v="0"/>
    <x v="0"/>
    <x v="56"/>
    <n v="4195.0600000000004"/>
    <n v="182"/>
    <n v="47.44"/>
    <n v="772135"/>
    <n v="3789.62"/>
    <n v="689710.84"/>
    <n v="-82424.160000000033"/>
    <n v="-10.674837949322338"/>
    <n v="3.66"/>
    <n v="25243.416743999998"/>
    <n v="4577.09"/>
    <n v="3138.41"/>
    <x v="1"/>
    <n v="2.9048972920174485"/>
    <s v="47"/>
  </r>
  <r>
    <n v="1503"/>
    <x v="26"/>
    <s v="Pandey"/>
    <s v="pandey.aditya15@gmail.com"/>
    <x v="2"/>
    <x v="0"/>
    <x v="0"/>
    <x v="4"/>
    <x v="57"/>
    <n v="2150.6799999999998"/>
    <n v="45"/>
    <n v="61.81"/>
    <n v="99562.049999999988"/>
    <n v="2932.14"/>
    <n v="131946.29999999999"/>
    <n v="32384.25"/>
    <n v="32.52670068565282"/>
    <n v="4"/>
    <n v="5277.8519999999999"/>
    <n v="3373.56"/>
    <n v="1655.03"/>
    <x v="1"/>
    <n v="0.37456860449624196"/>
    <s v="15"/>
  </r>
  <r>
    <n v="1308"/>
    <x v="0"/>
    <s v="Singh"/>
    <s v="singh.kiran13@gmail.com"/>
    <x v="14"/>
    <x v="2"/>
    <x v="0"/>
    <x v="1"/>
    <x v="58"/>
    <n v="2045.92"/>
    <n v="108"/>
    <n v="109.33"/>
    <n v="232767"/>
    <n v="2260.8200000000002"/>
    <n v="244168.56000000003"/>
    <n v="11401.560000000027"/>
    <n v="4.8982716622201714"/>
    <n v="1.02"/>
    <n v="2490.5193120000004"/>
    <n v="2316.88"/>
    <n v="1687.26"/>
    <x v="2"/>
    <n v="0.87570726358865403"/>
    <s v="13"/>
  </r>
  <r>
    <n v="8139"/>
    <x v="12"/>
    <s v="Reddy"/>
    <s v="reddy.sanjay81@gmail.com"/>
    <x v="26"/>
    <x v="6"/>
    <x v="0"/>
    <x v="0"/>
    <x v="59"/>
    <n v="3943.25"/>
    <n v="195"/>
    <n v="57.53"/>
    <n v="780152.1"/>
    <n v="4073.8"/>
    <n v="794391"/>
    <n v="14238.900000000023"/>
    <n v="1.8251440969011075"/>
    <n v="1.26"/>
    <n v="10009.3266"/>
    <n v="4633.59"/>
    <n v="3060.85"/>
    <x v="2"/>
    <n v="2.9350589244778771"/>
    <s v="81"/>
  </r>
  <r>
    <n v="3420"/>
    <x v="3"/>
    <s v="Patel"/>
    <s v="patel.ananya34@gmail.com"/>
    <x v="6"/>
    <x v="0"/>
    <x v="0"/>
    <x v="1"/>
    <x v="60"/>
    <n v="946.05"/>
    <n v="44"/>
    <n v="116.43"/>
    <n v="46749.119999999995"/>
    <n v="1236.6600000000001"/>
    <n v="54413.04"/>
    <n v="7663.9200000000055"/>
    <n v="16.393720352383117"/>
    <n v="1.3"/>
    <n v="707.36952000000008"/>
    <n v="1481.22"/>
    <n v="817.05"/>
    <x v="2"/>
    <n v="0.17587778314957711"/>
    <s v="34"/>
  </r>
  <r>
    <n v="2480"/>
    <x v="6"/>
    <s v="Shah"/>
    <s v="shah.raj24@gmail.com"/>
    <x v="26"/>
    <x v="6"/>
    <x v="0"/>
    <x v="3"/>
    <x v="61"/>
    <n v="2695.42"/>
    <n v="194"/>
    <n v="135.41999999999999"/>
    <n v="549182.96000000008"/>
    <n v="3051.95"/>
    <n v="592078.29999999993"/>
    <n v="42895.339999999851"/>
    <n v="7.8107558180610424"/>
    <n v="4.1399999999999997"/>
    <n v="24512.041619999996"/>
    <n v="3570.55"/>
    <n v="2220.89"/>
    <x v="0"/>
    <n v="2.0661155022452382"/>
    <s v="24"/>
  </r>
  <r>
    <n v="7334"/>
    <x v="15"/>
    <s v="Nair"/>
    <s v="nair.divya73@gmail.com"/>
    <x v="28"/>
    <x v="4"/>
    <x v="0"/>
    <x v="2"/>
    <x v="62"/>
    <n v="550.46"/>
    <n v="174"/>
    <n v="29.8"/>
    <n v="100965.24"/>
    <n v="576.52"/>
    <n v="100314.48"/>
    <n v="-650.76000000000931"/>
    <n v="-0.64453865508566044"/>
    <n v="4.8499999999999996"/>
    <n v="4865.2522799999997"/>
    <n v="680.67"/>
    <n v="462.47"/>
    <x v="2"/>
    <n v="0.37984763320389797"/>
    <s v="73"/>
  </r>
  <r>
    <n v="3094"/>
    <x v="5"/>
    <s v="Pandey"/>
    <s v="pandey.deepak30@gmail.com"/>
    <x v="1"/>
    <x v="1"/>
    <x v="0"/>
    <x v="3"/>
    <x v="63"/>
    <n v="1755.86"/>
    <n v="97"/>
    <n v="53.24"/>
    <n v="175482.69999999998"/>
    <n v="2736.5"/>
    <n v="265440.5"/>
    <n v="89957.800000000017"/>
    <n v="51.263058979603137"/>
    <n v="2.04"/>
    <n v="5414.9862000000003"/>
    <n v="3273.44"/>
    <n v="1394.44"/>
    <x v="1"/>
    <n v="0.66019442199344713"/>
    <s v="30"/>
  </r>
  <r>
    <n v="9627"/>
    <x v="19"/>
    <s v="Iyer"/>
    <s v="iyer.vivaan96@gmail.com"/>
    <x v="11"/>
    <x v="2"/>
    <x v="1"/>
    <x v="2"/>
    <x v="64"/>
    <n v="1819.9"/>
    <n v="46"/>
    <n v="35.32"/>
    <n v="85340.12000000001"/>
    <n v="2436.6999999999998"/>
    <n v="112088.2"/>
    <n v="26748.079999999987"/>
    <n v="31.342913508909977"/>
    <n v="3.31"/>
    <n v="3710.11942"/>
    <n v="2991.32"/>
    <n v="1666.8"/>
    <x v="1"/>
    <n v="0.32106339369209286"/>
    <s v="96"/>
  </r>
  <r>
    <n v="8356"/>
    <x v="3"/>
    <s v="Mishra"/>
    <s v="mishra.ananya83@gmail.com"/>
    <x v="8"/>
    <x v="0"/>
    <x v="1"/>
    <x v="1"/>
    <x v="65"/>
    <n v="3572.79"/>
    <n v="54"/>
    <n v="61.5"/>
    <n v="196251.66"/>
    <n v="5555.91"/>
    <n v="300019.14"/>
    <n v="103767.48000000001"/>
    <n v="52.87470179870072"/>
    <n v="4.93"/>
    <n v="14790.943601999999"/>
    <n v="6256.99"/>
    <n v="2911.14"/>
    <x v="0"/>
    <n v="0.73833062312669295"/>
    <s v="83"/>
  </r>
  <r>
    <n v="5097"/>
    <x v="19"/>
    <s v="Saxena"/>
    <s v="saxena.vivaan50@gmail.com"/>
    <x v="14"/>
    <x v="2"/>
    <x v="0"/>
    <x v="1"/>
    <x v="66"/>
    <n v="4217.46"/>
    <n v="187"/>
    <n v="128.41999999999999"/>
    <n v="812679.56"/>
    <n v="6214.39"/>
    <n v="1162090.9300000002"/>
    <n v="349411.37000000011"/>
    <n v="42.994974550608859"/>
    <n v="1.78"/>
    <n v="20685.218554000003"/>
    <n v="7429.41"/>
    <n v="3427.71"/>
    <x v="2"/>
    <n v="3.0574325126071629"/>
    <s v="50"/>
  </r>
  <r>
    <n v="6728"/>
    <x v="13"/>
    <s v="Sharma"/>
    <s v="sharma.simran67@gmail.com"/>
    <x v="22"/>
    <x v="6"/>
    <x v="0"/>
    <x v="0"/>
    <x v="67"/>
    <n v="2358.63"/>
    <n v="65"/>
    <n v="64.06"/>
    <n v="157474.85"/>
    <n v="1932.58"/>
    <n v="125617.7"/>
    <n v="-31857.150000000009"/>
    <n v="-20.229992281307148"/>
    <n v="1.51"/>
    <n v="1896.8272699999998"/>
    <n v="2578.6799999999998"/>
    <n v="1493.48"/>
    <x v="1"/>
    <n v="0.59244596518206516"/>
    <s v="67"/>
  </r>
  <r>
    <n v="3274"/>
    <x v="7"/>
    <s v="Saxena"/>
    <s v="saxena.gaurav32@gmail.com"/>
    <x v="21"/>
    <x v="6"/>
    <x v="1"/>
    <x v="0"/>
    <x v="68"/>
    <n v="281.72000000000003"/>
    <n v="60"/>
    <n v="126.89"/>
    <n v="24516.6"/>
    <n v="342.71"/>
    <n v="20562.599999999999"/>
    <n v="-3954"/>
    <n v="-16.127848070287072"/>
    <n v="3.77"/>
    <n v="775.21001999999999"/>
    <n v="391.16"/>
    <n v="218.49"/>
    <x v="1"/>
    <n v="9.2235431562453424E-2"/>
    <s v="32"/>
  </r>
  <r>
    <n v="2030"/>
    <x v="1"/>
    <s v="Saxena"/>
    <s v="saxena.rohan20@gmail.com"/>
    <x v="12"/>
    <x v="3"/>
    <x v="1"/>
    <x v="0"/>
    <x v="69"/>
    <n v="2416.12"/>
    <n v="66"/>
    <n v="110.6"/>
    <n v="166763.51999999999"/>
    <n v="2410.2800000000002"/>
    <n v="159078.48000000001"/>
    <n v="-7685.039999999979"/>
    <n v="-4.608345997973645"/>
    <n v="0.51"/>
    <n v="811.30024800000012"/>
    <n v="2660.5"/>
    <n v="2124.0700000000002"/>
    <x v="1"/>
    <n v="0.62739145053040934"/>
    <s v="20"/>
  </r>
  <r>
    <n v="9313"/>
    <x v="20"/>
    <s v="Pandey"/>
    <s v="pandey.riya93@gmail.com"/>
    <x v="16"/>
    <x v="5"/>
    <x v="1"/>
    <x v="0"/>
    <x v="70"/>
    <n v="3955.33"/>
    <n v="16"/>
    <n v="98.99"/>
    <n v="64869.119999999995"/>
    <n v="6264.78"/>
    <n v="100236.48"/>
    <n v="35367.360000000001"/>
    <n v="54.521103415615947"/>
    <n v="1.64"/>
    <n v="1643.8782719999997"/>
    <n v="6413.48"/>
    <n v="3683.83"/>
    <x v="1"/>
    <n v="0.24404816647808336"/>
    <s v="93"/>
  </r>
  <r>
    <n v="6081"/>
    <x v="27"/>
    <s v="Reddy"/>
    <s v="reddy.sneha60@gmail.com"/>
    <x v="23"/>
    <x v="1"/>
    <x v="1"/>
    <x v="3"/>
    <x v="71"/>
    <n v="357.47"/>
    <n v="170"/>
    <n v="36.75"/>
    <n v="67017.399999999994"/>
    <n v="376.57"/>
    <n v="64016.9"/>
    <n v="-3000.4999999999927"/>
    <n v="-4.4771954746080764"/>
    <n v="4.01"/>
    <n v="2567.0776900000001"/>
    <n v="459.09"/>
    <n v="295.39"/>
    <x v="1"/>
    <n v="0.25213034479469282"/>
    <s v="60"/>
  </r>
  <r>
    <n v="6555"/>
    <x v="9"/>
    <s v="Saxena"/>
    <s v="saxena.neha65@gmail.com"/>
    <x v="24"/>
    <x v="4"/>
    <x v="0"/>
    <x v="3"/>
    <x v="72"/>
    <n v="4174.54"/>
    <n v="137"/>
    <n v="47.34"/>
    <n v="578397.55999999994"/>
    <n v="3424.04"/>
    <n v="469093.48"/>
    <n v="-109304.07999999996"/>
    <n v="-18.897742238055081"/>
    <n v="2.41"/>
    <n v="11305.152868000001"/>
    <n v="4671.4799999999996"/>
    <n v="3351.7"/>
    <x v="1"/>
    <n v="2.1760255729289564"/>
    <s v="65"/>
  </r>
  <r>
    <n v="7982"/>
    <x v="9"/>
    <s v="Malhotra"/>
    <s v="malhotra.neha79@gmail.com"/>
    <x v="15"/>
    <x v="2"/>
    <x v="0"/>
    <x v="3"/>
    <x v="73"/>
    <n v="3325.3"/>
    <n v="95"/>
    <n v="96.08"/>
    <n v="325031.09999999998"/>
    <n v="3723.34"/>
    <n v="353717.3"/>
    <n v="28686.200000000012"/>
    <n v="8.8256785273778462"/>
    <n v="3.38"/>
    <n v="11955.64474"/>
    <n v="4475.6000000000004"/>
    <n v="2537.84"/>
    <x v="0"/>
    <n v="1.2228197947398478"/>
    <s v="79"/>
  </r>
  <r>
    <n v="8180"/>
    <x v="19"/>
    <s v="Gupta"/>
    <s v="gupta.vivaan81@gmail.com"/>
    <x v="1"/>
    <x v="1"/>
    <x v="0"/>
    <x v="2"/>
    <x v="74"/>
    <n v="2974.2"/>
    <n v="97"/>
    <n v="63.6"/>
    <n v="294666.59999999998"/>
    <n v="3664.68"/>
    <n v="355473.95999999996"/>
    <n v="60807.359999999986"/>
    <n v="20.635986569227725"/>
    <n v="3.22"/>
    <n v="11446.261511999999"/>
    <n v="4310.34"/>
    <n v="2879.71"/>
    <x v="1"/>
    <n v="1.1085836134717226"/>
    <s v="81"/>
  </r>
  <r>
    <n v="5567"/>
    <x v="3"/>
    <s v="Patel"/>
    <s v="patel.ananya55@gmail.com"/>
    <x v="17"/>
    <x v="3"/>
    <x v="0"/>
    <x v="2"/>
    <x v="75"/>
    <n v="2426.3000000000002"/>
    <n v="148"/>
    <n v="26.49"/>
    <n v="363012.92000000004"/>
    <n v="3417.98"/>
    <n v="505861.04"/>
    <n v="142848.11999999994"/>
    <n v="39.350698592215373"/>
    <n v="3.67"/>
    <n v="18565.100167999997"/>
    <n v="3655.02"/>
    <n v="2161.1799999999998"/>
    <x v="0"/>
    <n v="1.3657135711699984"/>
    <s v="55"/>
  </r>
  <r>
    <n v="2439"/>
    <x v="20"/>
    <s v="Iyer"/>
    <s v="iyer.riya24@gmail.com"/>
    <x v="5"/>
    <x v="3"/>
    <x v="1"/>
    <x v="1"/>
    <x v="76"/>
    <n v="479.24"/>
    <n v="143"/>
    <n v="50.65"/>
    <n v="75774.27"/>
    <n v="481.62"/>
    <n v="68871.66"/>
    <n v="-6902.6100000000006"/>
    <n v="-9.1094378078469127"/>
    <n v="1.21"/>
    <n v="833.34708599999999"/>
    <n v="569.85"/>
    <n v="436.61"/>
    <x v="1"/>
    <n v="0.28507511215991893"/>
    <s v="24"/>
  </r>
  <r>
    <n v="9095"/>
    <x v="11"/>
    <s v="Pillai"/>
    <s v="pillai.aarav90@gmail.com"/>
    <x v="16"/>
    <x v="5"/>
    <x v="1"/>
    <x v="1"/>
    <x v="77"/>
    <n v="3655.75"/>
    <n v="146"/>
    <n v="28.17"/>
    <n v="537852.31999999995"/>
    <n v="5489.51"/>
    <n v="801468.46000000008"/>
    <n v="263616.14000000013"/>
    <n v="49.012736432930168"/>
    <n v="0.8"/>
    <n v="6411.7476800000013"/>
    <n v="6102.01"/>
    <n v="3344.63"/>
    <x v="0"/>
    <n v="2.0234877940687861"/>
    <s v="90"/>
  </r>
  <r>
    <n v="2216"/>
    <x v="0"/>
    <s v="Malhotra"/>
    <s v="malhotra.kiran22@gmail.com"/>
    <x v="5"/>
    <x v="3"/>
    <x v="1"/>
    <x v="1"/>
    <x v="7"/>
    <n v="3975.23"/>
    <n v="146"/>
    <n v="99.57"/>
    <n v="594920.79999999993"/>
    <n v="3596.27"/>
    <n v="525055.42000000004"/>
    <n v="-69865.379999999888"/>
    <n v="-11.743643859821324"/>
    <n v="4.8499999999999996"/>
    <n v="25465.187870000002"/>
    <n v="4450.28"/>
    <n v="3450.49"/>
    <x v="1"/>
    <n v="2.238188685767196"/>
    <s v="22"/>
  </r>
  <r>
    <n v="4695"/>
    <x v="2"/>
    <s v="Pandey"/>
    <s v="pandey.vikram46@gmail.com"/>
    <x v="11"/>
    <x v="2"/>
    <x v="1"/>
    <x v="1"/>
    <x v="78"/>
    <n v="539.1"/>
    <n v="55"/>
    <n v="98.91"/>
    <n v="35090.550000000003"/>
    <n v="656.74"/>
    <n v="36120.699999999997"/>
    <n v="1030.1499999999942"/>
    <n v="2.9356906631557331"/>
    <n v="1.06"/>
    <n v="382.87941999999998"/>
    <n v="715.62"/>
    <n v="470.47"/>
    <x v="2"/>
    <n v="0.1320163490457017"/>
    <s v="46"/>
  </r>
  <r>
    <n v="6532"/>
    <x v="17"/>
    <s v="Tiwari"/>
    <s v="tiwari.shruti65@gmail.com"/>
    <x v="29"/>
    <x v="1"/>
    <x v="0"/>
    <x v="0"/>
    <x v="79"/>
    <n v="395.49"/>
    <n v="169"/>
    <n v="117.94"/>
    <n v="86769.67"/>
    <n v="385.59"/>
    <n v="65164.71"/>
    <n v="-21604.959999999999"/>
    <n v="-24.899207292133298"/>
    <n v="1.45"/>
    <n v="944.88829499999997"/>
    <n v="455.44"/>
    <n v="344.01"/>
    <x v="1"/>
    <n v="0.32644159300154457"/>
    <s v="65"/>
  </r>
  <r>
    <n v="7654"/>
    <x v="15"/>
    <s v="Malhotra"/>
    <s v="malhotra.divya76@gmail.com"/>
    <x v="1"/>
    <x v="1"/>
    <x v="0"/>
    <x v="0"/>
    <x v="80"/>
    <n v="2090.3000000000002"/>
    <n v="128"/>
    <n v="75.02"/>
    <n v="277160.96000000002"/>
    <n v="2172.16"/>
    <n v="278036.47999999998"/>
    <n v="875.51999999996042"/>
    <n v="0.31588864463449695"/>
    <n v="1.1499999999999999"/>
    <n v="3197.4195199999995"/>
    <n v="2646"/>
    <n v="1721.24"/>
    <x v="1"/>
    <n v="1.042724552256997"/>
    <s v="76"/>
  </r>
  <r>
    <n v="8643"/>
    <x v="1"/>
    <s v="Nair"/>
    <s v="nair.rohan86@gmail.com"/>
    <x v="21"/>
    <x v="6"/>
    <x v="1"/>
    <x v="2"/>
    <x v="81"/>
    <n v="616.29"/>
    <n v="79"/>
    <n v="142.35"/>
    <n v="59932.56"/>
    <n v="914.91"/>
    <n v="72277.89"/>
    <n v="12345.330000000002"/>
    <n v="20.598702942106932"/>
    <n v="2.38"/>
    <n v="1720.2137819999998"/>
    <n v="1135.79"/>
    <n v="590.12"/>
    <x v="1"/>
    <n v="0.22547602588624169"/>
    <s v="86"/>
  </r>
  <r>
    <n v="8649"/>
    <x v="16"/>
    <s v="Kumar"/>
    <s v="kumar.meera86@gmail.com"/>
    <x v="10"/>
    <x v="6"/>
    <x v="0"/>
    <x v="0"/>
    <x v="82"/>
    <n v="4264.5"/>
    <n v="134"/>
    <n v="74.010000000000005"/>
    <n v="581360.34"/>
    <n v="4070.97"/>
    <n v="545509.98"/>
    <n v="-35850.359999999986"/>
    <n v="-6.1666332450541752"/>
    <n v="3.13"/>
    <n v="17074.462373999999"/>
    <n v="4397.5200000000004"/>
    <n v="3316.67"/>
    <x v="2"/>
    <n v="2.1871720325491566"/>
    <s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661DB-BF6F-4CCD-958F-700B940F6A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H35" firstHeaderRow="0" firstDataRow="1" firstDataCol="1"/>
  <pivotFields count="24">
    <pivotField dataField="1" showAll="0">
      <items count="87">
        <item x="40"/>
        <item x="5"/>
        <item x="59"/>
        <item x="58"/>
        <item x="33"/>
        <item x="3"/>
        <item x="70"/>
        <item x="26"/>
        <item x="7"/>
        <item x="12"/>
        <item x="79"/>
        <item x="19"/>
        <item x="77"/>
        <item x="62"/>
        <item x="55"/>
        <item x="27"/>
        <item x="28"/>
        <item x="56"/>
        <item x="64"/>
        <item x="9"/>
        <item x="46"/>
        <item x="69"/>
        <item x="43"/>
        <item x="61"/>
        <item x="49"/>
        <item x="15"/>
        <item x="35"/>
        <item x="2"/>
        <item x="18"/>
        <item x="29"/>
        <item x="25"/>
        <item x="17"/>
        <item x="23"/>
        <item x="51"/>
        <item x="0"/>
        <item x="16"/>
        <item x="80"/>
        <item x="57"/>
        <item x="11"/>
        <item x="10"/>
        <item x="31"/>
        <item x="67"/>
        <item x="37"/>
        <item x="32"/>
        <item x="24"/>
        <item x="76"/>
        <item x="44"/>
        <item x="45"/>
        <item x="48"/>
        <item x="72"/>
        <item x="41"/>
        <item x="52"/>
        <item x="54"/>
        <item x="81"/>
        <item x="73"/>
        <item x="68"/>
        <item x="50"/>
        <item x="14"/>
        <item x="30"/>
        <item x="20"/>
        <item x="63"/>
        <item x="82"/>
        <item x="42"/>
        <item x="74"/>
        <item x="4"/>
        <item x="36"/>
        <item x="60"/>
        <item x="38"/>
        <item x="75"/>
        <item x="66"/>
        <item x="8"/>
        <item x="21"/>
        <item x="83"/>
        <item x="84"/>
        <item x="78"/>
        <item x="71"/>
        <item x="6"/>
        <item x="39"/>
        <item x="22"/>
        <item x="53"/>
        <item x="34"/>
        <item x="65"/>
        <item x="13"/>
        <item x="1"/>
        <item x="47"/>
        <item x="85"/>
        <item t="default"/>
      </items>
    </pivotField>
    <pivotField showAll="0"/>
    <pivotField showAll="0"/>
    <pivotField showAll="0"/>
    <pivotField axis="axisRow" showAll="0">
      <items count="32">
        <item x="7"/>
        <item x="22"/>
        <item x="2"/>
        <item x="0"/>
        <item x="20"/>
        <item x="14"/>
        <item x="12"/>
        <item x="11"/>
        <item x="4"/>
        <item x="23"/>
        <item x="19"/>
        <item x="21"/>
        <item x="6"/>
        <item x="1"/>
        <item x="9"/>
        <item x="24"/>
        <item x="13"/>
        <item x="10"/>
        <item x="18"/>
        <item x="5"/>
        <item x="17"/>
        <item x="8"/>
        <item x="15"/>
        <item x="27"/>
        <item x="16"/>
        <item x="29"/>
        <item x="3"/>
        <item x="26"/>
        <item x="28"/>
        <item x="25"/>
        <item h="1" x="30"/>
        <item t="default"/>
      </items>
    </pivotField>
    <pivotField showAll="0">
      <items count="10">
        <item x="7"/>
        <item x="6"/>
        <item x="3"/>
        <item x="0"/>
        <item x="4"/>
        <item x="1"/>
        <item x="5"/>
        <item x="2"/>
        <item x="8"/>
        <item t="default"/>
      </items>
    </pivotField>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dataField="1" showAll="0"/>
    <pivotField showAll="0"/>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7">
    <i>
      <x/>
    </i>
    <i i="1">
      <x v="1"/>
    </i>
    <i i="2">
      <x v="2"/>
    </i>
    <i i="3">
      <x v="3"/>
    </i>
    <i i="4">
      <x v="4"/>
    </i>
    <i i="5">
      <x v="5"/>
    </i>
    <i i="6">
      <x v="6"/>
    </i>
  </colItems>
  <dataFields count="7">
    <dataField name="No. of Users" fld="0" subtotal="count" baseField="4" baseItem="0"/>
    <dataField name="Total No. of Shares" fld="10" baseField="4" baseItem="0"/>
    <dataField name="Total of Purchase Price" fld="12" baseField="4" baseItem="0"/>
    <dataField name="Total of Current Value" fld="14" baseField="4" baseItem="0"/>
    <dataField name="Total Profit/ Loss" fld="15" baseField="4" baseItem="0"/>
    <dataField name=" Return (%)" fld="16" subtotal="average" baseField="4" baseItem="15"/>
    <dataField name="Total of Portfolio Weight (%)" fld="22" baseField="4" baseItem="0"/>
  </dataFields>
  <pivotTableStyleInfo name="PivotStyleLight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C990D-0891-4F58-871D-57BCE441E8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H23" firstHeaderRow="0" firstDataRow="1" firstDataCol="1"/>
  <pivotFields count="24">
    <pivotField dataField="1" showAll="0"/>
    <pivotField showAll="0"/>
    <pivotField showAll="0"/>
    <pivotField showAll="0"/>
    <pivotField showAll="0"/>
    <pivotField axis="axisRow" showAll="0">
      <items count="10">
        <item x="7"/>
        <item x="6"/>
        <item x="3"/>
        <item x="0"/>
        <item x="4"/>
        <item x="1"/>
        <item x="5"/>
        <item x="2"/>
        <item h="1" x="8"/>
        <item t="default"/>
      </items>
    </pivotField>
    <pivotField axis="axisRow" showAll="0">
      <items count="4">
        <item x="1"/>
        <item x="0"/>
        <item x="2"/>
        <item t="default"/>
      </items>
    </pivotField>
    <pivotField showAll="0">
      <items count="7">
        <item x="3"/>
        <item x="1"/>
        <item x="2"/>
        <item x="4"/>
        <item x="0"/>
        <item x="5"/>
        <item t="default"/>
      </items>
    </pivotField>
    <pivotField showAll="0"/>
    <pivotField showAll="0"/>
    <pivotField dataField="1"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dataField="1" showAll="0"/>
    <pivotField showAll="0"/>
  </pivotFields>
  <rowFields count="2">
    <field x="6"/>
    <field x="5"/>
  </rowFields>
  <rowItems count="19">
    <i>
      <x/>
    </i>
    <i r="1">
      <x/>
    </i>
    <i r="1">
      <x v="1"/>
    </i>
    <i r="1">
      <x v="2"/>
    </i>
    <i r="1">
      <x v="3"/>
    </i>
    <i r="1">
      <x v="4"/>
    </i>
    <i r="1">
      <x v="5"/>
    </i>
    <i r="1">
      <x v="6"/>
    </i>
    <i r="1">
      <x v="7"/>
    </i>
    <i>
      <x v="1"/>
    </i>
    <i r="1">
      <x/>
    </i>
    <i r="1">
      <x v="1"/>
    </i>
    <i r="1">
      <x v="2"/>
    </i>
    <i r="1">
      <x v="3"/>
    </i>
    <i r="1">
      <x v="4"/>
    </i>
    <i r="1">
      <x v="5"/>
    </i>
    <i r="1">
      <x v="6"/>
    </i>
    <i r="1">
      <x v="7"/>
    </i>
    <i t="grand">
      <x/>
    </i>
  </rowItems>
  <colFields count="1">
    <field x="-2"/>
  </colFields>
  <colItems count="7">
    <i>
      <x/>
    </i>
    <i i="1">
      <x v="1"/>
    </i>
    <i i="2">
      <x v="2"/>
    </i>
    <i i="3">
      <x v="3"/>
    </i>
    <i i="4">
      <x v="4"/>
    </i>
    <i i="5">
      <x v="5"/>
    </i>
    <i i="6">
      <x v="6"/>
    </i>
  </colItems>
  <dataFields count="7">
    <dataField name="No of Users" fld="0" subtotal="count" baseField="6" baseItem="0"/>
    <dataField name="Total No. of Shares" fld="10" baseField="5" baseItem="0"/>
    <dataField name="Total of Purchase Price" fld="12" baseField="5" baseItem="0"/>
    <dataField name="Total of Current Value" fld="14" baseField="5" baseItem="0"/>
    <dataField name="Total Profit/ Loss" fld="15" baseField="5" baseItem="0"/>
    <dataField name=" Return (%)" fld="16" subtotal="average" baseField="6" baseItem="0"/>
    <dataField name="Total of Portfolio Weight (%)" fld="22" baseField="6" baseItem="0"/>
  </dataField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EB65F9-B4A5-4B41-BAF9-4DED37A28E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10" firstHeaderRow="0" firstDataRow="1" firstDataCol="1"/>
  <pivotFields count="24">
    <pivotField showAll="0"/>
    <pivotField showAll="0"/>
    <pivotField showAll="0"/>
    <pivotField showAll="0"/>
    <pivotField showAll="0">
      <items count="32">
        <item x="7"/>
        <item x="22"/>
        <item x="2"/>
        <item x="0"/>
        <item x="20"/>
        <item x="14"/>
        <item x="12"/>
        <item x="11"/>
        <item x="4"/>
        <item x="23"/>
        <item x="19"/>
        <item x="21"/>
        <item x="6"/>
        <item x="1"/>
        <item x="9"/>
        <item x="24"/>
        <item x="13"/>
        <item x="10"/>
        <item x="18"/>
        <item x="5"/>
        <item x="17"/>
        <item x="8"/>
        <item x="15"/>
        <item x="27"/>
        <item x="16"/>
        <item x="29"/>
        <item x="3"/>
        <item x="26"/>
        <item x="28"/>
        <item x="25"/>
        <item x="30"/>
        <item t="default"/>
      </items>
    </pivotField>
    <pivotField showAll="0"/>
    <pivotField showAll="0"/>
    <pivotField axis="axisRow" showAll="0">
      <items count="7">
        <item x="3"/>
        <item x="1"/>
        <item x="2"/>
        <item x="4"/>
        <item x="0"/>
        <item h="1" x="5"/>
        <item t="default"/>
      </items>
    </pivotField>
    <pivotField showAll="0"/>
    <pivotField showAll="0"/>
    <pivotField dataField="1"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dataField="1" showAll="0"/>
    <pivotField showAll="0"/>
  </pivotFields>
  <rowFields count="1">
    <field x="7"/>
  </rowFields>
  <rowItems count="6">
    <i>
      <x/>
    </i>
    <i>
      <x v="1"/>
    </i>
    <i>
      <x v="2"/>
    </i>
    <i>
      <x v="3"/>
    </i>
    <i>
      <x v="4"/>
    </i>
    <i t="grand">
      <x/>
    </i>
  </rowItems>
  <colFields count="1">
    <field x="-2"/>
  </colFields>
  <colItems count="6">
    <i>
      <x/>
    </i>
    <i i="1">
      <x v="1"/>
    </i>
    <i i="2">
      <x v="2"/>
    </i>
    <i i="3">
      <x v="3"/>
    </i>
    <i i="4">
      <x v="4"/>
    </i>
    <i i="5">
      <x v="5"/>
    </i>
  </colItems>
  <dataFields count="6">
    <dataField name=" No. of Shares" fld="10" baseField="7" baseItem="0"/>
    <dataField name="Total of Purchase Price" fld="12" baseField="7" baseItem="0"/>
    <dataField name="Total of Current Value" fld="14" baseField="7" baseItem="0"/>
    <dataField name="Total Profit/ Loss" fld="15" baseField="7" baseItem="0"/>
    <dataField name=" Return (%)" fld="16" subtotal="average" baseField="7" baseItem="0"/>
    <dataField name=" Total of Portfolio Weight (%)" fld="22" baseField="7" baseItem="0"/>
  </dataFields>
  <pivotTableStyleInfo name="PivotStyleLight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CB9F7D-386F-4B6C-A318-BC711D8154AE}" name="PivotTable10"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Q14:R23" firstHeaderRow="1"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axis="axisRow"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5"/>
  </rowFields>
  <rowItems count="9">
    <i>
      <x/>
    </i>
    <i>
      <x v="1"/>
    </i>
    <i>
      <x v="2"/>
    </i>
    <i>
      <x v="3"/>
    </i>
    <i>
      <x v="4"/>
    </i>
    <i>
      <x v="5"/>
    </i>
    <i>
      <x v="6"/>
    </i>
    <i>
      <x v="7"/>
    </i>
    <i t="grand">
      <x/>
    </i>
  </rowItems>
  <colItems count="1">
    <i/>
  </colItems>
  <dataFields count="1">
    <dataField name="Sum of Total Current Value" fld="1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86A482-B8D6-4C53-A2E8-2F6F83CD999B}"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Q2:S11" firstHeaderRow="0"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axis="axisRow" showAll="0">
      <items count="9">
        <item x="7"/>
        <item x="6"/>
        <item x="3"/>
        <item x="0"/>
        <item x="4"/>
        <item x="1"/>
        <item x="5"/>
        <item x="2"/>
        <item t="default"/>
      </items>
    </pivotField>
    <pivotField showAll="0">
      <items count="3">
        <item x="1"/>
        <item x="0"/>
        <item t="default"/>
      </items>
    </pivotField>
    <pivotField showAll="0"/>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5"/>
  </rowFields>
  <rowItems count="9">
    <i>
      <x/>
    </i>
    <i>
      <x v="1"/>
    </i>
    <i>
      <x v="2"/>
    </i>
    <i>
      <x v="3"/>
    </i>
    <i>
      <x v="4"/>
    </i>
    <i>
      <x v="5"/>
    </i>
    <i>
      <x v="6"/>
    </i>
    <i>
      <x v="7"/>
    </i>
    <i t="grand">
      <x/>
    </i>
  </rowItems>
  <colFields count="1">
    <field x="-2"/>
  </colFields>
  <colItems count="2">
    <i>
      <x/>
    </i>
    <i i="1">
      <x v="1"/>
    </i>
  </colItems>
  <dataFields count="2">
    <dataField name="Sum of Total Purchase Price" fld="12" baseField="0" baseItem="0"/>
    <dataField name="Sum of Total Current Value" fld="14"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523505-7CCA-4F2E-A04E-B228CFD4FB72}" name="PivotTable8"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O2" firstHeaderRow="0" firstDataRow="0" firstDataCol="0"/>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4C46F1-16BC-40EA-AE89-F30CE9619B73}" name="PivotTable7"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N14:O23" firstHeaderRow="1"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axis="axisRow"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 showAll="0"/>
    <pivotField showAll="0"/>
  </pivotFields>
  <rowFields count="1">
    <field x="5"/>
  </rowFields>
  <rowItems count="9">
    <i>
      <x/>
    </i>
    <i>
      <x v="1"/>
    </i>
    <i>
      <x v="2"/>
    </i>
    <i>
      <x v="3"/>
    </i>
    <i>
      <x v="4"/>
    </i>
    <i>
      <x v="5"/>
    </i>
    <i>
      <x v="6"/>
    </i>
    <i>
      <x v="7"/>
    </i>
    <i t="grand">
      <x/>
    </i>
  </rowItems>
  <colItems count="1">
    <i/>
  </colItems>
  <dataFields count="1">
    <dataField name="Sum of Dividend %" fld="17" baseField="0" baseItem="0"/>
  </dataFields>
  <chartFormats count="9">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 chart="5" format="6">
      <pivotArea type="data" outline="0" fieldPosition="0">
        <references count="2">
          <reference field="4294967294" count="1" selected="0">
            <x v="0"/>
          </reference>
          <reference field="5" count="1" selected="0">
            <x v="4"/>
          </reference>
        </references>
      </pivotArea>
    </chartFormat>
    <chartFormat chart="5" format="7">
      <pivotArea type="data" outline="0" fieldPosition="0">
        <references count="2">
          <reference field="4294967294" count="1" selected="0">
            <x v="0"/>
          </reference>
          <reference field="5" count="1" selected="0">
            <x v="5"/>
          </reference>
        </references>
      </pivotArea>
    </chartFormat>
    <chartFormat chart="5" format="8">
      <pivotArea type="data" outline="0" fieldPosition="0">
        <references count="2">
          <reference field="4294967294" count="1" selected="0">
            <x v="0"/>
          </reference>
          <reference field="5" count="1" selected="0">
            <x v="6"/>
          </reference>
        </references>
      </pivotArea>
    </chartFormat>
    <chartFormat chart="5" format="9">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0DEAC7-3B38-4CD9-B0B7-F55C244B3C6C}"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K14:L23" firstHeaderRow="1" firstDataRow="1" firstDataCol="1"/>
  <pivotFields count="24">
    <pivotField showAll="0"/>
    <pivotField showAll="0">
      <items count="29">
        <item x="11"/>
        <item x="26"/>
        <item x="10"/>
        <item x="3"/>
        <item x="5"/>
        <item x="15"/>
        <item x="7"/>
        <item x="25"/>
        <item x="24"/>
        <item x="0"/>
        <item x="16"/>
        <item x="8"/>
        <item x="9"/>
        <item x="22"/>
        <item x="23"/>
        <item x="14"/>
        <item x="21"/>
        <item x="6"/>
        <item x="20"/>
        <item x="1"/>
        <item x="12"/>
        <item x="17"/>
        <item x="13"/>
        <item x="27"/>
        <item x="18"/>
        <item x="4"/>
        <item x="2"/>
        <item x="19"/>
        <item t="default"/>
      </items>
    </pivotField>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axis="axisRow"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x="0"/>
        <item x="2"/>
        <item t="default"/>
      </items>
    </pivotField>
    <pivotField showAll="0"/>
    <pivotField showAll="0"/>
  </pivotFields>
  <rowFields count="1">
    <field x="5"/>
  </rowFields>
  <rowItems count="9">
    <i>
      <x/>
    </i>
    <i>
      <x v="1"/>
    </i>
    <i>
      <x v="2"/>
    </i>
    <i>
      <x v="3"/>
    </i>
    <i>
      <x v="4"/>
    </i>
    <i>
      <x v="5"/>
    </i>
    <i>
      <x v="6"/>
    </i>
    <i>
      <x v="7"/>
    </i>
    <i t="grand">
      <x/>
    </i>
  </rowItems>
  <colItems count="1">
    <i/>
  </colItems>
  <dataFields count="1">
    <dataField name="Sum of Return (%)" fld="16" baseField="0" baseItem="0"/>
  </dataFields>
  <chartFormats count="9">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 chart="5" format="6">
      <pivotArea type="data" outline="0" fieldPosition="0">
        <references count="2">
          <reference field="4294967294" count="1" selected="0">
            <x v="0"/>
          </reference>
          <reference field="5" count="1" selected="0">
            <x v="4"/>
          </reference>
        </references>
      </pivotArea>
    </chartFormat>
    <chartFormat chart="5" format="7">
      <pivotArea type="data" outline="0" fieldPosition="0">
        <references count="2">
          <reference field="4294967294" count="1" selected="0">
            <x v="0"/>
          </reference>
          <reference field="5" count="1" selected="0">
            <x v="5"/>
          </reference>
        </references>
      </pivotArea>
    </chartFormat>
    <chartFormat chart="5" format="8">
      <pivotArea type="data" outline="0" fieldPosition="0">
        <references count="2">
          <reference field="4294967294" count="1" selected="0">
            <x v="0"/>
          </reference>
          <reference field="5" count="1" selected="0">
            <x v="6"/>
          </reference>
        </references>
      </pivotArea>
    </chartFormat>
    <chartFormat chart="5" format="9">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B5FEF6-9543-4F8D-8CE1-DC7B9A41884A}"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2:M11" firstHeaderRow="0"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axis="axisRow"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4">
        <item x="1"/>
        <item x="0"/>
        <item x="2"/>
        <item t="default"/>
      </items>
    </pivotField>
    <pivotField showAll="0"/>
    <pivotField showAll="0"/>
  </pivotFields>
  <rowFields count="1">
    <field x="5"/>
  </rowFields>
  <rowItems count="9">
    <i>
      <x/>
    </i>
    <i>
      <x v="1"/>
    </i>
    <i>
      <x v="2"/>
    </i>
    <i>
      <x v="3"/>
    </i>
    <i>
      <x v="4"/>
    </i>
    <i>
      <x v="5"/>
    </i>
    <i>
      <x v="6"/>
    </i>
    <i>
      <x v="7"/>
    </i>
    <i t="grand">
      <x/>
    </i>
  </rowItems>
  <colFields count="1">
    <field x="-2"/>
  </colFields>
  <colItems count="2">
    <i>
      <x/>
    </i>
    <i i="1">
      <x v="1"/>
    </i>
  </colItems>
  <dataFields count="2">
    <dataField name="Sum of Profit/ Loss" fld="15" baseField="0" baseItem="0"/>
    <dataField name="Sum of Dividend Received" fld="18" baseField="0" baseItem="0"/>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1E2188-95ED-489D-A745-76466569ABDD}"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6:B29" firstHeaderRow="1" firstDataRow="1" firstDataCol="1"/>
  <pivotFields count="24">
    <pivotField dataField="1"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axis="axisRow"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6"/>
  </rowFields>
  <rowItems count="3">
    <i>
      <x/>
    </i>
    <i>
      <x v="1"/>
    </i>
    <i t="grand">
      <x/>
    </i>
  </rowItems>
  <colItems count="1">
    <i/>
  </colItems>
  <dataFields count="1">
    <dataField name="Count of User ID" fld="0" subtotal="count" baseField="6" baseItem="0"/>
  </dataFields>
  <chartFormats count="3">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5"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55BF6F-15C3-494A-B8B1-8957A99BA8B5}"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1:B24" firstHeaderRow="1"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axis="axisRow"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6"/>
  </rowFields>
  <rowItems count="3">
    <i>
      <x/>
    </i>
    <i>
      <x v="1"/>
    </i>
    <i t="grand">
      <x/>
    </i>
  </rowItems>
  <colItems count="1">
    <i/>
  </colItems>
  <dataFields count="1">
    <dataField name="Sum of No. of Shares" fld="10" baseField="0" baseItem="0"/>
  </dataField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6" count="1" selected="0">
            <x v="0"/>
          </reference>
        </references>
      </pivotArea>
    </chartFormat>
    <chartFormat chart="8"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BAA27F-0549-49A2-9ACF-CC2BA2C0035E}"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H5:I36" firstHeaderRow="1" firstDataRow="1" firstDataCol="1"/>
  <pivotFields count="24">
    <pivotField showAll="0"/>
    <pivotField showAll="0"/>
    <pivotField showAll="0"/>
    <pivotField showAll="0"/>
    <pivotField axis="axisRow"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x="0"/>
        <item x="2"/>
        <item t="default"/>
      </items>
    </pivotField>
    <pivotField showAll="0"/>
    <pivotField showAll="0"/>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Dividend Received" fld="18" baseField="0" baseItem="0"/>
  </dataFields>
  <chartFormats count="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2F7A45-DAA7-4589-B685-58FE3593169A}" name="PivotTable1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E9:F12" firstHeaderRow="1"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axis="axisRow"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dataField="1" showAll="0"/>
    <pivotField showAll="0"/>
  </pivotFields>
  <rowFields count="1">
    <field x="6"/>
  </rowFields>
  <rowItems count="3">
    <i>
      <x/>
    </i>
    <i>
      <x v="1"/>
    </i>
    <i t="grand">
      <x/>
    </i>
  </rowItems>
  <colItems count="1">
    <i/>
  </colItems>
  <dataFields count="1">
    <dataField name="Sum of Portfolio Weight (%)" fld="22" baseField="0" baseItem="0"/>
  </dataFields>
  <chartFormats count="3">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6" count="1" selected="0">
            <x v="0"/>
          </reference>
        </references>
      </pivotArea>
    </chartFormat>
    <chartFormat chart="7"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AEEE93-215C-4791-8111-CDB9AFB8BCFB}" name="PivotTable1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3:F6" firstHeaderRow="1"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axis="axisRow"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
        <item x="1"/>
        <item x="0"/>
        <item x="2"/>
        <item t="default"/>
      </items>
    </pivotField>
    <pivotField showAll="0"/>
    <pivotField showAll="0"/>
  </pivotFields>
  <rowFields count="1">
    <field x="6"/>
  </rowFields>
  <rowItems count="3">
    <i>
      <x/>
    </i>
    <i>
      <x v="1"/>
    </i>
    <i t="grand">
      <x/>
    </i>
  </rowItems>
  <colItems count="1">
    <i/>
  </colItems>
  <dataFields count="1">
    <dataField name="Sum of Profit/ Loss" fld="15" baseField="0" baseItem="0"/>
  </dataField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7EC89F-4580-4510-AF5E-27374C281034}" name="PivotTable1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12" firstHeaderRow="0"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axis="axisRow"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4">
        <item x="1"/>
        <item x="0"/>
        <item x="2"/>
        <item t="default"/>
      </items>
    </pivotField>
    <pivotField showAll="0"/>
    <pivotField showAll="0"/>
  </pivotFields>
  <rowFields count="1">
    <field x="5"/>
  </rowFields>
  <rowItems count="9">
    <i>
      <x/>
    </i>
    <i>
      <x v="1"/>
    </i>
    <i>
      <x v="2"/>
    </i>
    <i>
      <x v="3"/>
    </i>
    <i>
      <x v="4"/>
    </i>
    <i>
      <x v="5"/>
    </i>
    <i>
      <x v="6"/>
    </i>
    <i>
      <x v="7"/>
    </i>
    <i t="grand">
      <x/>
    </i>
  </rowItems>
  <colFields count="1">
    <field x="-2"/>
  </colFields>
  <colItems count="2">
    <i>
      <x/>
    </i>
    <i i="1">
      <x v="1"/>
    </i>
  </colItems>
  <dataFields count="2">
    <dataField name="Sum of 52-Week High" fld="19" baseField="5" baseItem="0"/>
    <dataField name="Sum of 52-Week Low" fld="20" baseField="0" baseItem="0"/>
  </dataField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29CE5CD-5E97-451C-AF49-651DF0C118CB}" name="PivotTable1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E14:F20" firstHeaderRow="1" firstDataRow="1" firstDataCol="1"/>
  <pivotFields count="24">
    <pivotField showAll="0"/>
    <pivotField showAll="0"/>
    <pivotField showAll="0"/>
    <pivotField showAll="0"/>
    <pivotField showAll="0"/>
    <pivotField showAll="0">
      <items count="9">
        <item x="7"/>
        <item x="6"/>
        <item x="3"/>
        <item x="0"/>
        <item x="4"/>
        <item x="1"/>
        <item x="5"/>
        <item x="2"/>
        <item t="default"/>
      </items>
    </pivotField>
    <pivotField showAll="0"/>
    <pivotField axis="axisRow"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7"/>
  </rowFields>
  <rowItems count="6">
    <i>
      <x/>
    </i>
    <i>
      <x v="1"/>
    </i>
    <i>
      <x v="2"/>
    </i>
    <i>
      <x v="3"/>
    </i>
    <i>
      <x v="4"/>
    </i>
    <i t="grand">
      <x/>
    </i>
  </rowItems>
  <colItems count="1">
    <i/>
  </colItems>
  <dataFields count="1">
    <dataField name="Sum of Total Purchase Price" fld="12"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E5A85F-8552-49E0-B20B-05C3140A81C5}" name="PivotTable1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4:C18" firstHeaderRow="0" firstDataRow="1" firstDataCol="1"/>
  <pivotFields count="24">
    <pivotField showAll="0"/>
    <pivotField showAll="0"/>
    <pivotField showAll="0"/>
    <pivotField showAll="0"/>
    <pivotField showAll="0">
      <items count="31">
        <item x="7"/>
        <item x="22"/>
        <item x="2"/>
        <item x="0"/>
        <item x="20"/>
        <item x="14"/>
        <item x="12"/>
        <item x="11"/>
        <item x="4"/>
        <item x="23"/>
        <item x="19"/>
        <item x="21"/>
        <item x="6"/>
        <item x="1"/>
        <item x="9"/>
        <item x="24"/>
        <item x="13"/>
        <item x="10"/>
        <item x="18"/>
        <item x="5"/>
        <item x="17"/>
        <item x="8"/>
        <item x="15"/>
        <item x="27"/>
        <item x="16"/>
        <item x="29"/>
        <item x="3"/>
        <item x="26"/>
        <item x="28"/>
        <item x="25"/>
        <item t="default"/>
      </items>
    </pivotField>
    <pivotField showAll="0">
      <items count="9">
        <item x="7"/>
        <item x="6"/>
        <item x="3"/>
        <item x="0"/>
        <item x="4"/>
        <item x="1"/>
        <item x="5"/>
        <item x="2"/>
        <item t="default"/>
      </items>
    </pivotField>
    <pivotField showAll="0">
      <items count="3">
        <item x="1"/>
        <item x="0"/>
        <item t="default"/>
      </items>
    </pivotField>
    <pivotField showAll="0">
      <items count="6">
        <item x="3"/>
        <item x="1"/>
        <item x="2"/>
        <item x="4"/>
        <item x="0"/>
        <item t="default"/>
      </items>
    </pivotField>
    <pivotField numFmtId="14" showAll="0">
      <items count="84">
        <item x="35"/>
        <item x="73"/>
        <item x="47"/>
        <item x="52"/>
        <item x="12"/>
        <item x="22"/>
        <item x="68"/>
        <item x="79"/>
        <item x="82"/>
        <item x="19"/>
        <item x="49"/>
        <item x="51"/>
        <item x="14"/>
        <item x="7"/>
        <item x="81"/>
        <item x="80"/>
        <item x="42"/>
        <item x="29"/>
        <item x="60"/>
        <item x="25"/>
        <item x="10"/>
        <item x="4"/>
        <item x="9"/>
        <item x="26"/>
        <item x="71"/>
        <item x="34"/>
        <item x="33"/>
        <item x="45"/>
        <item x="50"/>
        <item x="62"/>
        <item x="24"/>
        <item x="8"/>
        <item x="27"/>
        <item x="72"/>
        <item x="54"/>
        <item x="40"/>
        <item x="70"/>
        <item x="59"/>
        <item x="67"/>
        <item x="32"/>
        <item x="3"/>
        <item x="57"/>
        <item x="43"/>
        <item x="30"/>
        <item x="53"/>
        <item x="61"/>
        <item x="77"/>
        <item x="38"/>
        <item x="75"/>
        <item x="63"/>
        <item x="18"/>
        <item x="66"/>
        <item x="44"/>
        <item x="58"/>
        <item x="11"/>
        <item x="46"/>
        <item x="64"/>
        <item x="56"/>
        <item x="28"/>
        <item x="17"/>
        <item x="37"/>
        <item x="69"/>
        <item x="20"/>
        <item x="2"/>
        <item x="76"/>
        <item x="31"/>
        <item x="21"/>
        <item x="0"/>
        <item x="6"/>
        <item x="5"/>
        <item x="74"/>
        <item x="41"/>
        <item x="15"/>
        <item x="65"/>
        <item x="16"/>
        <item x="1"/>
        <item x="48"/>
        <item x="78"/>
        <item x="23"/>
        <item x="36"/>
        <item x="39"/>
        <item x="55"/>
        <item x="13"/>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axis="axisRow" showAll="0">
      <items count="4">
        <item x="1"/>
        <item x="0"/>
        <item x="2"/>
        <item t="default"/>
      </items>
    </pivotField>
    <pivotField showAll="0"/>
    <pivotField showAll="0"/>
  </pivotFields>
  <rowFields count="1">
    <field x="21"/>
  </rowFields>
  <rowItems count="4">
    <i>
      <x/>
    </i>
    <i>
      <x v="1"/>
    </i>
    <i>
      <x v="2"/>
    </i>
    <i t="grand">
      <x/>
    </i>
  </rowItems>
  <colFields count="1">
    <field x="-2"/>
  </colFields>
  <colItems count="2">
    <i>
      <x/>
    </i>
    <i i="1">
      <x v="1"/>
    </i>
  </colItems>
  <dataFields count="2">
    <dataField name="Average of Return (%)" fld="16" subtotal="average" baseField="21" baseItem="0"/>
    <dataField name="Average of Dividend %" fld="17" subtotal="average" baseField="21"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06F9997E-353F-4F8E-BBD4-5D6EFA2AC28A}" sourceName="Sector">
  <pivotTables>
    <pivotTable tabId="9" name="PivotTable6"/>
    <pivotTable tabId="9" name="PivotTable1"/>
    <pivotTable tabId="9" name="PivotTable10"/>
    <pivotTable tabId="9" name="PivotTable12"/>
    <pivotTable tabId="9" name="PivotTable13"/>
    <pivotTable tabId="9" name="PivotTable14"/>
    <pivotTable tabId="9" name="PivotTable15"/>
    <pivotTable tabId="9" name="PivotTable16"/>
    <pivotTable tabId="9" name="PivotTable3"/>
    <pivotTable tabId="9" name="PivotTable4"/>
    <pivotTable tabId="9" name="PivotTable5"/>
    <pivotTable tabId="9" name="PivotTable7"/>
    <pivotTable tabId="9" name="PivotTable8"/>
    <pivotTable tabId="9" name="PivotTable9"/>
  </pivotTables>
  <data>
    <tabular pivotCacheId="1484088371">
      <items count="8">
        <i x="7" s="1"/>
        <i x="6" s="1"/>
        <i x="3" s="1"/>
        <i x="0" s="1"/>
        <i x="4"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Name" xr10:uid="{88955CA2-7149-4255-AC71-F00FDC7E3968}" sourceName="Stock Name">
  <pivotTables>
    <pivotTable tabId="9" name="PivotTable6"/>
    <pivotTable tabId="9" name="PivotTable1"/>
    <pivotTable tabId="9" name="PivotTable10"/>
    <pivotTable tabId="9" name="PivotTable12"/>
    <pivotTable tabId="9" name="PivotTable13"/>
    <pivotTable tabId="9" name="PivotTable14"/>
    <pivotTable tabId="9" name="PivotTable15"/>
    <pivotTable tabId="9" name="PivotTable3"/>
    <pivotTable tabId="9" name="PivotTable4"/>
    <pivotTable tabId="9" name="PivotTable5"/>
    <pivotTable tabId="9" name="PivotTable7"/>
    <pivotTable tabId="9" name="PivotTable8"/>
    <pivotTable tabId="9" name="PivotTable9"/>
  </pivotTables>
  <data>
    <tabular pivotCacheId="1484088371">
      <items count="30">
        <i x="7" s="1"/>
        <i x="22" s="1"/>
        <i x="2" s="1"/>
        <i x="0" s="1"/>
        <i x="20" s="1"/>
        <i x="14" s="1"/>
        <i x="12" s="1"/>
        <i x="11" s="1"/>
        <i x="4" s="1"/>
        <i x="23" s="1"/>
        <i x="19" s="1"/>
        <i x="21" s="1"/>
        <i x="6" s="1"/>
        <i x="1" s="1"/>
        <i x="9" s="1"/>
        <i x="24" s="1"/>
        <i x="13" s="1"/>
        <i x="10" s="1"/>
        <i x="18" s="1"/>
        <i x="5" s="1"/>
        <i x="17" s="1"/>
        <i x="8" s="1"/>
        <i x="15" s="1"/>
        <i x="27" s="1"/>
        <i x="16" s="1"/>
        <i x="29" s="1"/>
        <i x="3" s="1"/>
        <i x="26" s="1"/>
        <i x="28" s="1"/>
        <i x="2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457B88F-73C9-4EA2-A82E-F68F5FB46D1C}" sourceName="Status">
  <pivotTables>
    <pivotTable tabId="9" name="PivotTable6"/>
    <pivotTable tabId="9" name="PivotTable1"/>
    <pivotTable tabId="9" name="PivotTable10"/>
    <pivotTable tabId="9" name="PivotTable12"/>
    <pivotTable tabId="9" name="PivotTable13"/>
    <pivotTable tabId="9" name="PivotTable14"/>
    <pivotTable tabId="9" name="PivotTable15"/>
    <pivotTable tabId="9" name="PivotTable16"/>
    <pivotTable tabId="9" name="PivotTable3"/>
    <pivotTable tabId="9" name="PivotTable4"/>
    <pivotTable tabId="9" name="PivotTable5"/>
    <pivotTable tabId="9" name="PivotTable7"/>
    <pivotTable tabId="9" name="PivotTable8"/>
    <pivotTable tabId="9" name="PivotTable9"/>
  </pivotTables>
  <data>
    <tabular pivotCacheId="148408837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change" xr10:uid="{E9183813-8527-48B5-BE48-2389AA98A221}" sourceName="Exchange">
  <pivotTables>
    <pivotTable tabId="9" name="PivotTable6"/>
    <pivotTable tabId="9" name="PivotTable1"/>
    <pivotTable tabId="9" name="PivotTable10"/>
    <pivotTable tabId="9" name="PivotTable12"/>
    <pivotTable tabId="9" name="PivotTable13"/>
    <pivotTable tabId="9" name="PivotTable14"/>
    <pivotTable tabId="9" name="PivotTable15"/>
    <pivotTable tabId="9" name="PivotTable3"/>
    <pivotTable tabId="9" name="PivotTable4"/>
    <pivotTable tabId="9" name="PivotTable5"/>
    <pivotTable tabId="9" name="PivotTable7"/>
    <pivotTable tabId="9" name="PivotTable8"/>
    <pivotTable tabId="9" name="PivotTable9"/>
  </pivotTables>
  <data>
    <tabular pivotCacheId="148408837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C74EFC2-47FA-4A15-B6D5-930AFE7905D6}" sourceName="Payment Mode">
  <pivotTables>
    <pivotTable tabId="9" name="PivotTable6"/>
    <pivotTable tabId="9" name="PivotTable1"/>
    <pivotTable tabId="9" name="PivotTable10"/>
    <pivotTable tabId="9" name="PivotTable12"/>
    <pivotTable tabId="9" name="PivotTable13"/>
    <pivotTable tabId="9" name="PivotTable14"/>
    <pivotTable tabId="9" name="PivotTable15"/>
    <pivotTable tabId="9" name="PivotTable16"/>
    <pivotTable tabId="9" name="PivotTable3"/>
    <pivotTable tabId="9" name="PivotTable4"/>
    <pivotTable tabId="9" name="PivotTable5"/>
    <pivotTable tabId="9" name="PivotTable7"/>
    <pivotTable tabId="9" name="PivotTable8"/>
  </pivotTables>
  <data>
    <tabular pivotCacheId="1484088371">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6BE55117-0A42-45C5-AE9F-004F610AF23F}" cache="Slicer_Sector" caption="Sector" style="SlicerStyleDark5" rowHeight="247650"/>
  <slicer name="Stock Name" xr10:uid="{EC2B151E-300D-4A63-AA00-C3DA451852C7}" cache="Slicer_Stock_Name" caption="Stock Name" style="SlicerStyleDark5" rowHeight="247650"/>
  <slicer name="Status" xr10:uid="{2C663708-4194-4545-BADA-92DF95CB2C5F}" cache="Slicer_Status" caption="Status" style="SlicerStyleDark5" rowHeight="247650"/>
  <slicer name="Exchange" xr10:uid="{056ADB6A-750F-4439-BA81-05558DC611F4}" cache="Slicer_Exchange" caption="Exchange" style="SlicerStyleDark5" rowHeight="247650"/>
  <slicer name="Payment Mode" xr10:uid="{DE6B2DAB-4571-4028-AD0D-69E0AC4657E0}" cache="Slicer_Payment_Mode" caption="Payment Mode"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Buy_Date" xr10:uid="{9E41762B-24DE-4819-919C-A0F1EF6B9CDB}" sourceName="Buy Date">
  <pivotTables>
    <pivotTable tabId="9" name="PivotTable6"/>
    <pivotTable tabId="9" name="PivotTable1"/>
    <pivotTable tabId="9" name="PivotTable10"/>
    <pivotTable tabId="9" name="PivotTable12"/>
    <pivotTable tabId="9" name="PivotTable13"/>
    <pivotTable tabId="9" name="PivotTable14"/>
    <pivotTable tabId="9" name="PivotTable15"/>
    <pivotTable tabId="9" name="PivotTable16"/>
    <pivotTable tabId="9" name="PivotTable3"/>
    <pivotTable tabId="9" name="PivotTable4"/>
    <pivotTable tabId="9" name="PivotTable5"/>
    <pivotTable tabId="9" name="PivotTable7"/>
    <pivotTable tabId="9" name="PivotTable8"/>
    <pivotTable tabId="9" name="PivotTable9"/>
  </pivotTables>
  <state minimalRefreshVersion="6" lastRefreshVersion="6" pivotCacheId="1484088371" filterType="unknown">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uy Date" xr10:uid="{F42AE88F-0CB3-45AE-8642-CC555E2EA6EE}" cache="NativeTimeline_Buy_Date" caption="Buy Date" level="2" selectionLevel="2" scrollPosition="2024-05-18T00:00:00" style="TimeSlicerStyleDark5"/>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BB74F-850B-4DB3-94B0-13340DDE3F9F}">
  <dimension ref="A1:X87"/>
  <sheetViews>
    <sheetView zoomScale="77" zoomScaleNormal="70" workbookViewId="0">
      <selection activeCell="AF80" sqref="AF80"/>
    </sheetView>
  </sheetViews>
  <sheetFormatPr defaultRowHeight="14.4" x14ac:dyDescent="0.3"/>
  <cols>
    <col min="1" max="1" width="9.109375" bestFit="1" customWidth="1"/>
    <col min="2" max="2" width="12.33203125" bestFit="1" customWidth="1"/>
    <col min="3" max="3" width="12" bestFit="1" customWidth="1"/>
    <col min="4" max="4" width="26.77734375" customWidth="1"/>
    <col min="5" max="5" width="18.44140625" customWidth="1"/>
    <col min="6" max="6" width="15.77734375" customWidth="1"/>
    <col min="7" max="7" width="15.5546875" bestFit="1" customWidth="1"/>
    <col min="8" max="8" width="15.77734375" customWidth="1"/>
    <col min="9" max="9" width="13.5546875" bestFit="1" customWidth="1"/>
    <col min="10" max="10" width="14" bestFit="1" customWidth="1"/>
    <col min="11" max="11" width="18.44140625" bestFit="1" customWidth="1"/>
    <col min="12" max="12" width="19.33203125" customWidth="1"/>
    <col min="13" max="13" width="20.33203125" customWidth="1"/>
    <col min="14" max="14" width="18.33203125" customWidth="1"/>
    <col min="15" max="15" width="19.44140625" customWidth="1"/>
    <col min="16" max="16" width="13.77734375" customWidth="1"/>
    <col min="17" max="17" width="13.88671875" customWidth="1"/>
    <col min="18" max="18" width="13.44140625" customWidth="1"/>
    <col min="19" max="19" width="18" customWidth="1"/>
    <col min="20" max="20" width="13.88671875" customWidth="1"/>
    <col min="21" max="21" width="18.33203125" customWidth="1"/>
    <col min="22" max="22" width="11.33203125" customWidth="1"/>
    <col min="23" max="23" width="17.109375" customWidth="1"/>
    <col min="24" max="24" width="9.109375" customWidth="1"/>
    <col min="31" max="31" width="25.88671875" customWidth="1"/>
    <col min="32" max="32" width="27.5546875" customWidth="1"/>
  </cols>
  <sheetData>
    <row r="1" spans="1:24" x14ac:dyDescent="0.3">
      <c r="A1" s="1" t="s">
        <v>0</v>
      </c>
      <c r="B1" s="2" t="s">
        <v>1</v>
      </c>
      <c r="C1" s="2" t="s">
        <v>2</v>
      </c>
      <c r="D1" s="2" t="s">
        <v>111</v>
      </c>
      <c r="E1" s="2" t="s">
        <v>3</v>
      </c>
      <c r="F1" s="2" t="s">
        <v>4</v>
      </c>
      <c r="G1" s="2" t="s">
        <v>5</v>
      </c>
      <c r="H1" s="2" t="s">
        <v>6</v>
      </c>
      <c r="I1" s="2" t="s">
        <v>7</v>
      </c>
      <c r="J1" s="2" t="s">
        <v>8</v>
      </c>
      <c r="K1" s="2" t="s">
        <v>9</v>
      </c>
      <c r="L1" s="2" t="s">
        <v>10</v>
      </c>
      <c r="M1" s="2" t="s">
        <v>105</v>
      </c>
      <c r="N1" s="2" t="s">
        <v>11</v>
      </c>
      <c r="O1" s="2" t="s">
        <v>106</v>
      </c>
      <c r="P1" s="2" t="s">
        <v>107</v>
      </c>
      <c r="Q1" s="2" t="s">
        <v>108</v>
      </c>
      <c r="R1" s="2" t="s">
        <v>12</v>
      </c>
      <c r="S1" s="2" t="s">
        <v>109</v>
      </c>
      <c r="T1" s="2" t="s">
        <v>13</v>
      </c>
      <c r="U1" s="2" t="s">
        <v>14</v>
      </c>
      <c r="V1" s="2" t="s">
        <v>15</v>
      </c>
      <c r="W1" s="1" t="s">
        <v>110</v>
      </c>
      <c r="X1" s="3" t="s">
        <v>119</v>
      </c>
    </row>
    <row r="2" spans="1:24" x14ac:dyDescent="0.3">
      <c r="A2" s="4">
        <v>4612</v>
      </c>
      <c r="B2" s="4" t="s">
        <v>16</v>
      </c>
      <c r="C2" s="4" t="s">
        <v>17</v>
      </c>
      <c r="D2" s="4" t="str">
        <f t="shared" ref="D2:D33" si="0">LOWER(_xlfn.CONCAT(C2,".",B2,X2,"@gmail.com"))</f>
        <v>tiwari.kiran46@gmail.com</v>
      </c>
      <c r="E2" s="4" t="s">
        <v>18</v>
      </c>
      <c r="F2" s="4" t="s">
        <v>19</v>
      </c>
      <c r="G2" s="4" t="s">
        <v>20</v>
      </c>
      <c r="H2" s="4" t="s">
        <v>21</v>
      </c>
      <c r="I2" s="6">
        <v>45385</v>
      </c>
      <c r="J2" s="4">
        <v>3665.02</v>
      </c>
      <c r="K2" s="4">
        <v>183</v>
      </c>
      <c r="L2" s="4">
        <v>69.17</v>
      </c>
      <c r="M2" s="4">
        <f t="shared" ref="M2:M33" si="1">J2*K2+(L2*K2)</f>
        <v>683356.77</v>
      </c>
      <c r="N2" s="4">
        <v>3614.41</v>
      </c>
      <c r="O2" s="4">
        <f t="shared" ref="O2:O33" si="2">N2*K2</f>
        <v>661437.03</v>
      </c>
      <c r="P2" s="4">
        <f t="shared" ref="P2:P33" si="3">O2-M2</f>
        <v>-21919.739999999991</v>
      </c>
      <c r="Q2" s="4">
        <f t="shared" ref="Q2:Q33" si="4">P2/M2*100</f>
        <v>-3.2076568144631086</v>
      </c>
      <c r="R2" s="4">
        <v>1.47</v>
      </c>
      <c r="S2" s="4">
        <f t="shared" ref="S2:S33" si="5">O2*R2/100</f>
        <v>9723.1243410000006</v>
      </c>
      <c r="T2" s="4">
        <v>4381.91</v>
      </c>
      <c r="U2" s="4">
        <v>2795.78</v>
      </c>
      <c r="V2" s="4" t="s">
        <v>22</v>
      </c>
      <c r="W2" s="4">
        <f>M2/$M$87*100</f>
        <v>2.5708991700347612</v>
      </c>
      <c r="X2" s="7" t="str" cm="1">
        <f t="array" ref="X2:X86">LEFT(User_ID,2)</f>
        <v>46</v>
      </c>
    </row>
    <row r="3" spans="1:24" x14ac:dyDescent="0.3">
      <c r="A3" s="4">
        <v>9786</v>
      </c>
      <c r="B3" s="4" t="s">
        <v>23</v>
      </c>
      <c r="C3" s="4" t="s">
        <v>24</v>
      </c>
      <c r="D3" s="4" t="str">
        <f t="shared" si="0"/>
        <v>reddy.rohan97@gmail.com</v>
      </c>
      <c r="E3" s="4" t="s">
        <v>116</v>
      </c>
      <c r="F3" s="4" t="s">
        <v>25</v>
      </c>
      <c r="G3" s="4" t="s">
        <v>20</v>
      </c>
      <c r="H3" s="4" t="s">
        <v>26</v>
      </c>
      <c r="I3" s="6">
        <v>45529</v>
      </c>
      <c r="J3" s="4">
        <v>2903.15</v>
      </c>
      <c r="K3" s="4">
        <v>97</v>
      </c>
      <c r="L3" s="4">
        <v>90.83</v>
      </c>
      <c r="M3" s="4">
        <f t="shared" si="1"/>
        <v>290416.06</v>
      </c>
      <c r="N3" s="4">
        <v>3916.02</v>
      </c>
      <c r="O3" s="4">
        <f t="shared" si="2"/>
        <v>379853.94</v>
      </c>
      <c r="P3" s="4">
        <f t="shared" si="3"/>
        <v>89437.88</v>
      </c>
      <c r="Q3" s="4">
        <f t="shared" si="4"/>
        <v>30.796464906245202</v>
      </c>
      <c r="R3" s="4">
        <v>0.71</v>
      </c>
      <c r="S3" s="4">
        <f t="shared" si="5"/>
        <v>2696.962974</v>
      </c>
      <c r="T3" s="4">
        <v>4199.6000000000004</v>
      </c>
      <c r="U3" s="4">
        <v>2370.59</v>
      </c>
      <c r="V3" s="4" t="s">
        <v>27</v>
      </c>
      <c r="W3" s="4">
        <f>M3/$M$87*100</f>
        <v>1.0925923915537785</v>
      </c>
      <c r="X3" s="7" t="str">
        <v>97</v>
      </c>
    </row>
    <row r="4" spans="1:24" x14ac:dyDescent="0.3">
      <c r="A4" s="4">
        <v>3665</v>
      </c>
      <c r="B4" s="4" t="s">
        <v>28</v>
      </c>
      <c r="C4" s="4" t="s">
        <v>29</v>
      </c>
      <c r="D4" s="4" t="str">
        <f t="shared" si="0"/>
        <v>pillai.vikram36@gmail.com</v>
      </c>
      <c r="E4" s="4" t="s">
        <v>30</v>
      </c>
      <c r="F4" s="4" t="s">
        <v>19</v>
      </c>
      <c r="G4" s="4" t="s">
        <v>20</v>
      </c>
      <c r="H4" s="4" t="s">
        <v>26</v>
      </c>
      <c r="I4" s="6">
        <v>45268</v>
      </c>
      <c r="J4" s="4">
        <v>4227.6099999999997</v>
      </c>
      <c r="K4" s="4">
        <v>170</v>
      </c>
      <c r="L4" s="4">
        <v>20</v>
      </c>
      <c r="M4" s="4">
        <f t="shared" si="1"/>
        <v>722093.7</v>
      </c>
      <c r="N4" s="4">
        <v>5452.48</v>
      </c>
      <c r="O4" s="4">
        <f t="shared" si="2"/>
        <v>926921.6</v>
      </c>
      <c r="P4" s="4">
        <f t="shared" si="3"/>
        <v>204827.90000000002</v>
      </c>
      <c r="Q4" s="4">
        <f t="shared" si="4"/>
        <v>28.365833963099252</v>
      </c>
      <c r="R4" s="4">
        <v>2.9</v>
      </c>
      <c r="S4" s="4">
        <f t="shared" si="5"/>
        <v>26880.726399999996</v>
      </c>
      <c r="T4" s="4">
        <v>5868.54</v>
      </c>
      <c r="U4" s="4">
        <v>3620.19</v>
      </c>
      <c r="V4" s="4" t="s">
        <v>27</v>
      </c>
      <c r="W4" s="4">
        <f>M4/$M$87*100</f>
        <v>2.7166337929414675</v>
      </c>
      <c r="X4" s="7" t="str">
        <v>36</v>
      </c>
    </row>
    <row r="5" spans="1:24" x14ac:dyDescent="0.3">
      <c r="A5" s="4">
        <v>1917</v>
      </c>
      <c r="B5" s="4" t="s">
        <v>31</v>
      </c>
      <c r="C5" s="4" t="s">
        <v>32</v>
      </c>
      <c r="D5" s="4" t="str">
        <f t="shared" si="0"/>
        <v>verma.ananya19@gmail.com</v>
      </c>
      <c r="E5" s="4" t="s">
        <v>33</v>
      </c>
      <c r="F5" s="4" t="s">
        <v>25</v>
      </c>
      <c r="G5" s="4" t="s">
        <v>20</v>
      </c>
      <c r="H5" s="4" t="s">
        <v>26</v>
      </c>
      <c r="I5" s="6">
        <v>44652</v>
      </c>
      <c r="J5" s="4">
        <v>1351.29</v>
      </c>
      <c r="K5" s="4">
        <v>59</v>
      </c>
      <c r="L5" s="4">
        <v>137.84</v>
      </c>
      <c r="M5" s="4">
        <f t="shared" si="1"/>
        <v>87858.67</v>
      </c>
      <c r="N5" s="4">
        <v>1664.93</v>
      </c>
      <c r="O5" s="4">
        <f t="shared" si="2"/>
        <v>98230.87000000001</v>
      </c>
      <c r="P5" s="4">
        <f t="shared" si="3"/>
        <v>10372.200000000012</v>
      </c>
      <c r="Q5" s="4">
        <f t="shared" si="4"/>
        <v>11.805550892131661</v>
      </c>
      <c r="R5" s="4">
        <v>3.73</v>
      </c>
      <c r="S5" s="4">
        <f t="shared" si="5"/>
        <v>3664.0114510000003</v>
      </c>
      <c r="T5" s="4">
        <v>1779.65</v>
      </c>
      <c r="U5" s="4">
        <v>1168.6300000000001</v>
      </c>
      <c r="V5" s="4" t="s">
        <v>22</v>
      </c>
      <c r="W5" s="4">
        <f>M5/$M$87*100</f>
        <v>0.3305385878936386</v>
      </c>
      <c r="X5" s="7" t="str">
        <v>19</v>
      </c>
    </row>
    <row r="6" spans="1:24" x14ac:dyDescent="0.3">
      <c r="A6" s="4">
        <v>8020</v>
      </c>
      <c r="B6" s="4" t="s">
        <v>34</v>
      </c>
      <c r="C6" s="4" t="s">
        <v>17</v>
      </c>
      <c r="D6" s="4" t="str">
        <f t="shared" si="0"/>
        <v>tiwari.tanvi80@gmail.com</v>
      </c>
      <c r="E6" s="4" t="s">
        <v>35</v>
      </c>
      <c r="F6" s="4" t="s">
        <v>36</v>
      </c>
      <c r="G6" s="4" t="s">
        <v>20</v>
      </c>
      <c r="H6" s="4" t="s">
        <v>26</v>
      </c>
      <c r="I6" s="6">
        <v>44280</v>
      </c>
      <c r="J6" s="4">
        <v>4488.5</v>
      </c>
      <c r="K6" s="4">
        <v>40</v>
      </c>
      <c r="L6" s="4">
        <v>81.33</v>
      </c>
      <c r="M6" s="4">
        <f t="shared" si="1"/>
        <v>182793.2</v>
      </c>
      <c r="N6" s="4">
        <v>3713.21</v>
      </c>
      <c r="O6" s="4">
        <f t="shared" si="2"/>
        <v>148528.4</v>
      </c>
      <c r="P6" s="4">
        <f t="shared" si="3"/>
        <v>-34264.800000000017</v>
      </c>
      <c r="Q6" s="4">
        <f t="shared" si="4"/>
        <v>-18.74511743325245</v>
      </c>
      <c r="R6" s="4">
        <v>0.71</v>
      </c>
      <c r="S6" s="4">
        <f t="shared" si="5"/>
        <v>1054.5516399999999</v>
      </c>
      <c r="T6" s="4">
        <v>4691.47</v>
      </c>
      <c r="U6" s="4">
        <v>3320.77</v>
      </c>
      <c r="V6" s="4" t="s">
        <v>22</v>
      </c>
      <c r="W6" s="4">
        <f>M6/$M$87*100</f>
        <v>0.68769771047705897</v>
      </c>
      <c r="X6" s="7" t="str">
        <v>80</v>
      </c>
    </row>
    <row r="7" spans="1:24" x14ac:dyDescent="0.3">
      <c r="A7" s="4">
        <v>1189</v>
      </c>
      <c r="B7" s="4" t="s">
        <v>37</v>
      </c>
      <c r="C7" s="4" t="s">
        <v>38</v>
      </c>
      <c r="D7" s="4" t="str">
        <f t="shared" si="0"/>
        <v>patel.deepak11@gmail.com</v>
      </c>
      <c r="E7" s="4" t="s">
        <v>39</v>
      </c>
      <c r="F7" s="4" t="s">
        <v>40</v>
      </c>
      <c r="G7" s="4" t="s">
        <v>41</v>
      </c>
      <c r="H7" s="4" t="s">
        <v>26</v>
      </c>
      <c r="I7" s="6">
        <v>45405</v>
      </c>
      <c r="J7" s="4">
        <v>2956.14</v>
      </c>
      <c r="K7" s="4">
        <v>33</v>
      </c>
      <c r="L7" s="4">
        <v>51.09</v>
      </c>
      <c r="M7" s="4">
        <f t="shared" si="1"/>
        <v>99238.59</v>
      </c>
      <c r="N7" s="4">
        <v>2614.5100000000002</v>
      </c>
      <c r="O7" s="4">
        <f t="shared" si="2"/>
        <v>86278.83</v>
      </c>
      <c r="P7" s="4">
        <f t="shared" si="3"/>
        <v>-12959.759999999995</v>
      </c>
      <c r="Q7" s="4">
        <f t="shared" si="4"/>
        <v>-13.059194009104719</v>
      </c>
      <c r="R7" s="4">
        <v>0.51</v>
      </c>
      <c r="S7" s="4">
        <f t="shared" si="5"/>
        <v>440.02203300000002</v>
      </c>
      <c r="T7" s="4">
        <v>3506.22</v>
      </c>
      <c r="U7" s="4">
        <v>2393.65</v>
      </c>
      <c r="V7" s="4" t="s">
        <v>42</v>
      </c>
      <c r="W7" s="4">
        <f>M7/$M$87*100</f>
        <v>0.37335169543490432</v>
      </c>
      <c r="X7" s="7" t="str">
        <v>11</v>
      </c>
    </row>
    <row r="8" spans="1:24" x14ac:dyDescent="0.3">
      <c r="A8" s="4">
        <v>9318</v>
      </c>
      <c r="B8" s="4" t="s">
        <v>43</v>
      </c>
      <c r="C8" s="4" t="s">
        <v>44</v>
      </c>
      <c r="D8" s="4" t="str">
        <f t="shared" si="0"/>
        <v>joshi.raj93@gmail.com</v>
      </c>
      <c r="E8" s="4" t="s">
        <v>45</v>
      </c>
      <c r="F8" s="4" t="s">
        <v>19</v>
      </c>
      <c r="G8" s="4" t="s">
        <v>20</v>
      </c>
      <c r="H8" s="4" t="s">
        <v>26</v>
      </c>
      <c r="I8" s="6">
        <v>45392</v>
      </c>
      <c r="J8" s="4">
        <v>894.66</v>
      </c>
      <c r="K8" s="4">
        <v>140</v>
      </c>
      <c r="L8" s="4">
        <v>138.59</v>
      </c>
      <c r="M8" s="4">
        <f t="shared" si="1"/>
        <v>144655</v>
      </c>
      <c r="N8" s="4">
        <v>1126.47</v>
      </c>
      <c r="O8" s="4">
        <f t="shared" si="2"/>
        <v>157705.80000000002</v>
      </c>
      <c r="P8" s="4">
        <f t="shared" si="3"/>
        <v>13050.800000000017</v>
      </c>
      <c r="Q8" s="4">
        <f t="shared" si="4"/>
        <v>9.0220179046697435</v>
      </c>
      <c r="R8" s="4">
        <v>2.7</v>
      </c>
      <c r="S8" s="4">
        <f t="shared" si="5"/>
        <v>4258.0566000000008</v>
      </c>
      <c r="T8" s="4">
        <v>1177.98</v>
      </c>
      <c r="U8" s="4">
        <v>745.69</v>
      </c>
      <c r="V8" s="4" t="s">
        <v>27</v>
      </c>
      <c r="W8" s="4">
        <f>M8/$M$87*100</f>
        <v>0.54421560708526873</v>
      </c>
      <c r="X8" s="7" t="str">
        <v>93</v>
      </c>
    </row>
    <row r="9" spans="1:24" x14ac:dyDescent="0.3">
      <c r="A9" s="4">
        <v>2134</v>
      </c>
      <c r="B9" s="4" t="s">
        <v>46</v>
      </c>
      <c r="C9" s="4" t="s">
        <v>47</v>
      </c>
      <c r="D9" s="4" t="str">
        <f t="shared" si="0"/>
        <v>mishra.gaurav21@gmail.com</v>
      </c>
      <c r="E9" s="4" t="s">
        <v>48</v>
      </c>
      <c r="F9" s="4" t="s">
        <v>49</v>
      </c>
      <c r="G9" s="4" t="s">
        <v>41</v>
      </c>
      <c r="H9" s="4" t="s">
        <v>50</v>
      </c>
      <c r="I9" s="6">
        <v>44093</v>
      </c>
      <c r="J9" s="4">
        <v>3036.93</v>
      </c>
      <c r="K9" s="4">
        <v>145</v>
      </c>
      <c r="L9" s="4">
        <v>33.119999999999997</v>
      </c>
      <c r="M9" s="4">
        <f t="shared" si="1"/>
        <v>445157.25</v>
      </c>
      <c r="N9" s="4">
        <v>3639.83</v>
      </c>
      <c r="O9" s="4">
        <f t="shared" si="2"/>
        <v>527775.35</v>
      </c>
      <c r="P9" s="4">
        <f t="shared" si="3"/>
        <v>82618.099999999977</v>
      </c>
      <c r="Q9" s="4">
        <f t="shared" si="4"/>
        <v>18.559306851679935</v>
      </c>
      <c r="R9" s="4">
        <v>3.23</v>
      </c>
      <c r="S9" s="4">
        <f t="shared" si="5"/>
        <v>17047.143805</v>
      </c>
      <c r="T9" s="4">
        <v>4519.95</v>
      </c>
      <c r="U9" s="4">
        <v>2926.54</v>
      </c>
      <c r="V9" s="4" t="s">
        <v>27</v>
      </c>
      <c r="W9" s="4">
        <f>M9/$M$87*100</f>
        <v>1.6747538837728302</v>
      </c>
      <c r="X9" s="7" t="str">
        <v>21</v>
      </c>
    </row>
    <row r="10" spans="1:24" x14ac:dyDescent="0.3">
      <c r="A10" s="4">
        <v>8398</v>
      </c>
      <c r="B10" s="4" t="s">
        <v>23</v>
      </c>
      <c r="C10" s="4" t="s">
        <v>51</v>
      </c>
      <c r="D10" s="4" t="str">
        <f t="shared" si="0"/>
        <v>rao.rohan83@gmail.com</v>
      </c>
      <c r="E10" s="4" t="s">
        <v>112</v>
      </c>
      <c r="F10" s="4" t="s">
        <v>19</v>
      </c>
      <c r="G10" s="4" t="s">
        <v>41</v>
      </c>
      <c r="H10" s="4" t="s">
        <v>21</v>
      </c>
      <c r="I10" s="6">
        <v>44523</v>
      </c>
      <c r="J10" s="4">
        <v>290.45</v>
      </c>
      <c r="K10" s="4">
        <v>146</v>
      </c>
      <c r="L10" s="4">
        <v>42.22</v>
      </c>
      <c r="M10" s="4">
        <f t="shared" si="1"/>
        <v>48569.82</v>
      </c>
      <c r="N10" s="4">
        <v>272.20999999999998</v>
      </c>
      <c r="O10" s="4">
        <f t="shared" si="2"/>
        <v>39742.659999999996</v>
      </c>
      <c r="P10" s="4">
        <f t="shared" si="3"/>
        <v>-8827.1600000000035</v>
      </c>
      <c r="Q10" s="4">
        <f t="shared" si="4"/>
        <v>-18.174166591517128</v>
      </c>
      <c r="R10" s="4">
        <v>0.82</v>
      </c>
      <c r="S10" s="4">
        <f t="shared" si="5"/>
        <v>325.88981199999995</v>
      </c>
      <c r="T10" s="4">
        <v>338.42</v>
      </c>
      <c r="U10" s="4">
        <v>218.49</v>
      </c>
      <c r="V10" s="4" t="s">
        <v>27</v>
      </c>
      <c r="W10" s="4">
        <f>M10/$M$87*100</f>
        <v>0.1827275522956153</v>
      </c>
      <c r="X10" s="7" t="str">
        <v>83</v>
      </c>
    </row>
    <row r="11" spans="1:24" x14ac:dyDescent="0.3">
      <c r="A11" s="4">
        <v>3168</v>
      </c>
      <c r="B11" s="4" t="s">
        <v>52</v>
      </c>
      <c r="C11" s="4" t="s">
        <v>17</v>
      </c>
      <c r="D11" s="4" t="str">
        <f t="shared" si="0"/>
        <v>tiwari.mohit31@gmail.com</v>
      </c>
      <c r="E11" s="4" t="s">
        <v>53</v>
      </c>
      <c r="F11" s="4" t="s">
        <v>54</v>
      </c>
      <c r="G11" s="4" t="s">
        <v>20</v>
      </c>
      <c r="H11" s="4" t="s">
        <v>55</v>
      </c>
      <c r="I11" s="6">
        <v>44328</v>
      </c>
      <c r="J11" s="4">
        <v>3573.86</v>
      </c>
      <c r="K11" s="4">
        <v>109</v>
      </c>
      <c r="L11" s="4">
        <v>36.659999999999997</v>
      </c>
      <c r="M11" s="4">
        <f t="shared" si="1"/>
        <v>393546.68</v>
      </c>
      <c r="N11" s="4">
        <v>2974.85</v>
      </c>
      <c r="O11" s="4">
        <f t="shared" si="2"/>
        <v>324258.64999999997</v>
      </c>
      <c r="P11" s="4">
        <f t="shared" si="3"/>
        <v>-69288.030000000028</v>
      </c>
      <c r="Q11" s="4">
        <f t="shared" si="4"/>
        <v>-17.606051205920483</v>
      </c>
      <c r="R11" s="4">
        <v>2.44</v>
      </c>
      <c r="S11" s="4">
        <f t="shared" si="5"/>
        <v>7911.9110599999995</v>
      </c>
      <c r="T11" s="4">
        <v>3993.51</v>
      </c>
      <c r="U11" s="4">
        <v>2550.6799999999998</v>
      </c>
      <c r="V11" s="4" t="s">
        <v>27</v>
      </c>
      <c r="W11" s="4">
        <f>M11/$M$87*100</f>
        <v>1.4805865360519306</v>
      </c>
      <c r="X11" s="7" t="str">
        <v>31</v>
      </c>
    </row>
    <row r="12" spans="1:24" x14ac:dyDescent="0.3">
      <c r="A12" s="4">
        <v>4873</v>
      </c>
      <c r="B12" s="4" t="s">
        <v>56</v>
      </c>
      <c r="C12" s="4" t="s">
        <v>57</v>
      </c>
      <c r="D12" s="4" t="str">
        <f t="shared" si="0"/>
        <v>chopra.neha48@gmail.com</v>
      </c>
      <c r="E12" s="4" t="s">
        <v>58</v>
      </c>
      <c r="F12" s="4" t="s">
        <v>59</v>
      </c>
      <c r="G12" s="4" t="s">
        <v>20</v>
      </c>
      <c r="H12" s="4" t="s">
        <v>55</v>
      </c>
      <c r="I12" s="6">
        <v>44268</v>
      </c>
      <c r="J12" s="4">
        <v>3918</v>
      </c>
      <c r="K12" s="4">
        <v>20</v>
      </c>
      <c r="L12" s="4">
        <v>33.049999999999997</v>
      </c>
      <c r="M12" s="4">
        <f t="shared" si="1"/>
        <v>79021</v>
      </c>
      <c r="N12" s="4">
        <v>2945.68</v>
      </c>
      <c r="O12" s="4">
        <f t="shared" si="2"/>
        <v>58913.599999999999</v>
      </c>
      <c r="P12" s="4">
        <f t="shared" si="3"/>
        <v>-20107.400000000001</v>
      </c>
      <c r="Q12" s="4">
        <f t="shared" si="4"/>
        <v>-25.445641032130702</v>
      </c>
      <c r="R12" s="4">
        <v>2.2599999999999998</v>
      </c>
      <c r="S12" s="4">
        <f t="shared" si="5"/>
        <v>1331.4473599999997</v>
      </c>
      <c r="T12" s="4">
        <v>4831.28</v>
      </c>
      <c r="U12" s="4">
        <v>2741.19</v>
      </c>
      <c r="V12" s="4" t="s">
        <v>27</v>
      </c>
      <c r="W12" s="4">
        <f>M12/$M$87*100</f>
        <v>0.29728983780363644</v>
      </c>
      <c r="X12" s="7" t="str">
        <v>48</v>
      </c>
    </row>
    <row r="13" spans="1:24" x14ac:dyDescent="0.3">
      <c r="A13" s="4">
        <v>4854</v>
      </c>
      <c r="B13" s="4" t="s">
        <v>60</v>
      </c>
      <c r="C13" s="4" t="s">
        <v>38</v>
      </c>
      <c r="D13" s="4" t="str">
        <f t="shared" si="0"/>
        <v>patel.amit48@gmail.com</v>
      </c>
      <c r="E13" s="4" t="s">
        <v>61</v>
      </c>
      <c r="F13" s="4" t="s">
        <v>36</v>
      </c>
      <c r="G13" s="4" t="s">
        <v>41</v>
      </c>
      <c r="H13" s="4" t="s">
        <v>50</v>
      </c>
      <c r="I13" s="6">
        <v>45016</v>
      </c>
      <c r="J13" s="4">
        <v>2756.43</v>
      </c>
      <c r="K13" s="4">
        <v>163</v>
      </c>
      <c r="L13" s="4">
        <v>21.48</v>
      </c>
      <c r="M13" s="4">
        <f t="shared" si="1"/>
        <v>452799.32999999996</v>
      </c>
      <c r="N13" s="4">
        <v>3607.53</v>
      </c>
      <c r="O13" s="4">
        <f t="shared" si="2"/>
        <v>588027.39</v>
      </c>
      <c r="P13" s="4">
        <f t="shared" si="3"/>
        <v>135228.06000000006</v>
      </c>
      <c r="Q13" s="4">
        <f t="shared" si="4"/>
        <v>29.864898430834707</v>
      </c>
      <c r="R13" s="4">
        <v>3.04</v>
      </c>
      <c r="S13" s="4">
        <f t="shared" si="5"/>
        <v>17876.032655999999</v>
      </c>
      <c r="T13" s="4">
        <v>3942.18</v>
      </c>
      <c r="U13" s="4">
        <v>2232.64</v>
      </c>
      <c r="V13" s="4" t="s">
        <v>27</v>
      </c>
      <c r="W13" s="4">
        <f>M13/$M$87*100</f>
        <v>1.7035046300767545</v>
      </c>
      <c r="X13" s="7" t="str">
        <v>48</v>
      </c>
    </row>
    <row r="14" spans="1:24" x14ac:dyDescent="0.3">
      <c r="A14" s="4">
        <v>2189</v>
      </c>
      <c r="B14" s="4" t="s">
        <v>62</v>
      </c>
      <c r="C14" s="4" t="s">
        <v>63</v>
      </c>
      <c r="D14" s="4" t="str">
        <f t="shared" si="0"/>
        <v>malhotra.aarav21@gmail.com</v>
      </c>
      <c r="E14" s="4" t="s">
        <v>64</v>
      </c>
      <c r="F14" s="4" t="s">
        <v>40</v>
      </c>
      <c r="G14" s="4" t="s">
        <v>41</v>
      </c>
      <c r="H14" s="4" t="s">
        <v>21</v>
      </c>
      <c r="I14" s="6">
        <v>43981</v>
      </c>
      <c r="J14" s="4">
        <v>2511.83</v>
      </c>
      <c r="K14" s="4">
        <v>134</v>
      </c>
      <c r="L14" s="4">
        <v>47.13</v>
      </c>
      <c r="M14" s="4">
        <f t="shared" si="1"/>
        <v>342900.63999999996</v>
      </c>
      <c r="N14" s="4">
        <v>3876.43</v>
      </c>
      <c r="O14" s="4">
        <f t="shared" si="2"/>
        <v>519441.62</v>
      </c>
      <c r="P14" s="4">
        <f t="shared" si="3"/>
        <v>176540.98000000004</v>
      </c>
      <c r="Q14" s="4">
        <f t="shared" si="4"/>
        <v>51.484587488667287</v>
      </c>
      <c r="R14" s="4">
        <v>4.46</v>
      </c>
      <c r="S14" s="4">
        <f t="shared" si="5"/>
        <v>23167.096252000003</v>
      </c>
      <c r="T14" s="4">
        <v>4737.8999999999996</v>
      </c>
      <c r="U14" s="4">
        <v>2097.36</v>
      </c>
      <c r="V14" s="4" t="s">
        <v>27</v>
      </c>
      <c r="W14" s="4">
        <f>M14/$M$87*100</f>
        <v>1.2900479068647968</v>
      </c>
      <c r="X14" s="7" t="str">
        <v>21</v>
      </c>
    </row>
    <row r="15" spans="1:24" x14ac:dyDescent="0.3">
      <c r="A15" s="4">
        <v>9667</v>
      </c>
      <c r="B15" s="4" t="s">
        <v>62</v>
      </c>
      <c r="C15" s="4" t="s">
        <v>47</v>
      </c>
      <c r="D15" s="4" t="str">
        <f t="shared" si="0"/>
        <v>mishra.aarav96@gmail.com</v>
      </c>
      <c r="E15" s="4" t="s">
        <v>65</v>
      </c>
      <c r="F15" s="4" t="s">
        <v>66</v>
      </c>
      <c r="G15" s="4" t="s">
        <v>20</v>
      </c>
      <c r="H15" s="4" t="s">
        <v>21</v>
      </c>
      <c r="I15" s="6">
        <v>45629</v>
      </c>
      <c r="J15" s="4">
        <v>777.45</v>
      </c>
      <c r="K15" s="4">
        <v>34</v>
      </c>
      <c r="L15" s="4">
        <v>134.56</v>
      </c>
      <c r="M15" s="4">
        <f t="shared" si="1"/>
        <v>31008.340000000004</v>
      </c>
      <c r="N15" s="4">
        <v>1073.7</v>
      </c>
      <c r="O15" s="4">
        <f t="shared" si="2"/>
        <v>36505.800000000003</v>
      </c>
      <c r="P15" s="4">
        <f t="shared" si="3"/>
        <v>5497.4599999999991</v>
      </c>
      <c r="Q15" s="4">
        <f t="shared" si="4"/>
        <v>17.728972270040895</v>
      </c>
      <c r="R15" s="4">
        <v>1.2</v>
      </c>
      <c r="S15" s="4">
        <f t="shared" si="5"/>
        <v>438.06959999999998</v>
      </c>
      <c r="T15" s="4">
        <v>1164.75</v>
      </c>
      <c r="U15" s="4">
        <v>620.75</v>
      </c>
      <c r="V15" s="4" t="s">
        <v>27</v>
      </c>
      <c r="W15" s="4">
        <f>M15/$M$87*100</f>
        <v>0.11665841193049964</v>
      </c>
      <c r="X15" s="7" t="str">
        <v>96</v>
      </c>
    </row>
    <row r="16" spans="1:24" x14ac:dyDescent="0.3">
      <c r="A16" s="4">
        <v>7050</v>
      </c>
      <c r="B16" s="4" t="s">
        <v>67</v>
      </c>
      <c r="C16" s="4" t="s">
        <v>47</v>
      </c>
      <c r="D16" s="4" t="str">
        <f t="shared" si="0"/>
        <v>mishra.sanjay70@gmail.com</v>
      </c>
      <c r="E16" s="4" t="s">
        <v>45</v>
      </c>
      <c r="F16" s="4" t="s">
        <v>19</v>
      </c>
      <c r="G16" s="4" t="s">
        <v>20</v>
      </c>
      <c r="H16" s="4" t="s">
        <v>55</v>
      </c>
      <c r="I16" s="6">
        <v>44092</v>
      </c>
      <c r="J16" s="4">
        <v>379.86</v>
      </c>
      <c r="K16" s="4">
        <v>98</v>
      </c>
      <c r="L16" s="4">
        <v>135.86000000000001</v>
      </c>
      <c r="M16" s="4">
        <f t="shared" si="1"/>
        <v>50540.56</v>
      </c>
      <c r="N16" s="4">
        <v>541.95000000000005</v>
      </c>
      <c r="O16" s="4">
        <f t="shared" si="2"/>
        <v>53111.100000000006</v>
      </c>
      <c r="P16" s="4">
        <f t="shared" si="3"/>
        <v>2570.5400000000081</v>
      </c>
      <c r="Q16" s="4">
        <f t="shared" si="4"/>
        <v>5.0860932288839065</v>
      </c>
      <c r="R16" s="4">
        <v>4.37</v>
      </c>
      <c r="S16" s="4">
        <f t="shared" si="5"/>
        <v>2320.9550700000004</v>
      </c>
      <c r="T16" s="4">
        <v>664.84</v>
      </c>
      <c r="U16" s="4">
        <v>303.25</v>
      </c>
      <c r="V16" s="4" t="s">
        <v>27</v>
      </c>
      <c r="W16" s="4">
        <f>M16/$M$87*100</f>
        <v>0.19014179629345304</v>
      </c>
      <c r="X16" s="7" t="str">
        <v>70</v>
      </c>
    </row>
    <row r="17" spans="1:24" x14ac:dyDescent="0.3">
      <c r="A17" s="4">
        <v>3533</v>
      </c>
      <c r="B17" s="4" t="s">
        <v>68</v>
      </c>
      <c r="C17" s="4" t="s">
        <v>51</v>
      </c>
      <c r="D17" s="4" t="str">
        <f t="shared" si="0"/>
        <v>rao.simran35@gmail.com</v>
      </c>
      <c r="E17" s="4" t="s">
        <v>113</v>
      </c>
      <c r="F17" s="4" t="s">
        <v>36</v>
      </c>
      <c r="G17" s="4" t="s">
        <v>20</v>
      </c>
      <c r="H17" s="4" t="s">
        <v>50</v>
      </c>
      <c r="I17" s="6">
        <v>45469</v>
      </c>
      <c r="J17" s="4">
        <v>3686.32</v>
      </c>
      <c r="K17" s="4">
        <v>110</v>
      </c>
      <c r="L17" s="4">
        <v>13.47</v>
      </c>
      <c r="M17" s="4">
        <f t="shared" si="1"/>
        <v>406976.9</v>
      </c>
      <c r="N17" s="4">
        <v>5072.67</v>
      </c>
      <c r="O17" s="4">
        <f t="shared" si="2"/>
        <v>557993.69999999995</v>
      </c>
      <c r="P17" s="4">
        <f t="shared" si="3"/>
        <v>151016.79999999993</v>
      </c>
      <c r="Q17" s="4">
        <f t="shared" si="4"/>
        <v>37.106970936188247</v>
      </c>
      <c r="R17" s="4">
        <v>1.99</v>
      </c>
      <c r="S17" s="4">
        <f t="shared" si="5"/>
        <v>11104.074629999999</v>
      </c>
      <c r="T17" s="4">
        <v>6260.12</v>
      </c>
      <c r="U17" s="4">
        <v>3444.92</v>
      </c>
      <c r="V17" s="4" t="s">
        <v>27</v>
      </c>
      <c r="W17" s="4">
        <f>M17/$M$87*100</f>
        <v>1.5311132052343903</v>
      </c>
      <c r="X17" s="7" t="str">
        <v>35</v>
      </c>
    </row>
    <row r="18" spans="1:24" x14ac:dyDescent="0.3">
      <c r="A18" s="4">
        <v>4645</v>
      </c>
      <c r="B18" s="4" t="s">
        <v>69</v>
      </c>
      <c r="C18" s="4" t="s">
        <v>63</v>
      </c>
      <c r="D18" s="4" t="str">
        <f t="shared" si="0"/>
        <v>malhotra.priya46@gmail.com</v>
      </c>
      <c r="E18" s="4" t="s">
        <v>70</v>
      </c>
      <c r="F18" s="4" t="s">
        <v>36</v>
      </c>
      <c r="G18" s="4" t="s">
        <v>20</v>
      </c>
      <c r="H18" s="4" t="s">
        <v>26</v>
      </c>
      <c r="I18" s="6">
        <v>45511</v>
      </c>
      <c r="J18" s="4">
        <v>3619.99</v>
      </c>
      <c r="K18" s="4">
        <v>63</v>
      </c>
      <c r="L18" s="4">
        <v>41.21</v>
      </c>
      <c r="M18" s="4">
        <f t="shared" si="1"/>
        <v>230655.6</v>
      </c>
      <c r="N18" s="4">
        <v>4745.91</v>
      </c>
      <c r="O18" s="4">
        <f t="shared" si="2"/>
        <v>298992.33</v>
      </c>
      <c r="P18" s="4">
        <f t="shared" si="3"/>
        <v>68336.73000000001</v>
      </c>
      <c r="Q18" s="4">
        <f t="shared" si="4"/>
        <v>29.627171419206821</v>
      </c>
      <c r="R18" s="4">
        <v>2.29</v>
      </c>
      <c r="S18" s="4">
        <f t="shared" si="5"/>
        <v>6846.9243569999999</v>
      </c>
      <c r="T18" s="4">
        <v>5144.9399999999996</v>
      </c>
      <c r="U18" s="4">
        <v>2772.79</v>
      </c>
      <c r="V18" s="4" t="s">
        <v>27</v>
      </c>
      <c r="W18" s="4">
        <f>M18/$M$87*100</f>
        <v>0.86776383382266031</v>
      </c>
      <c r="X18" s="7" t="str">
        <v>46</v>
      </c>
    </row>
    <row r="19" spans="1:24" x14ac:dyDescent="0.3">
      <c r="A19" s="4">
        <v>4229</v>
      </c>
      <c r="B19" s="4" t="s">
        <v>28</v>
      </c>
      <c r="C19" s="4" t="s">
        <v>57</v>
      </c>
      <c r="D19" s="4" t="str">
        <f t="shared" si="0"/>
        <v>chopra.vikram42@gmail.com</v>
      </c>
      <c r="E19" s="4" t="s">
        <v>116</v>
      </c>
      <c r="F19" s="4" t="s">
        <v>25</v>
      </c>
      <c r="G19" s="4" t="s">
        <v>20</v>
      </c>
      <c r="H19" s="4" t="s">
        <v>26</v>
      </c>
      <c r="I19" s="6">
        <v>45107</v>
      </c>
      <c r="J19" s="4">
        <v>1549.84</v>
      </c>
      <c r="K19" s="4">
        <v>36</v>
      </c>
      <c r="L19" s="4">
        <v>110.77</v>
      </c>
      <c r="M19" s="4">
        <f t="shared" si="1"/>
        <v>59781.96</v>
      </c>
      <c r="N19" s="4">
        <v>1558.01</v>
      </c>
      <c r="O19" s="4">
        <f t="shared" si="2"/>
        <v>56088.36</v>
      </c>
      <c r="P19" s="4">
        <f t="shared" si="3"/>
        <v>-3693.5999999999985</v>
      </c>
      <c r="Q19" s="4">
        <f t="shared" si="4"/>
        <v>-6.178452496371813</v>
      </c>
      <c r="R19" s="4">
        <v>1.89</v>
      </c>
      <c r="S19" s="4">
        <f t="shared" si="5"/>
        <v>1060.0700039999999</v>
      </c>
      <c r="T19" s="4">
        <v>1735.51</v>
      </c>
      <c r="U19" s="4">
        <v>1305.82</v>
      </c>
      <c r="V19" s="4" t="s">
        <v>27</v>
      </c>
      <c r="W19" s="4">
        <f>M19/$M$87*100</f>
        <v>0.22490944422347831</v>
      </c>
      <c r="X19" s="7" t="str">
        <v>42</v>
      </c>
    </row>
    <row r="20" spans="1:24" x14ac:dyDescent="0.3">
      <c r="A20" s="4">
        <v>3852</v>
      </c>
      <c r="B20" s="4" t="s">
        <v>43</v>
      </c>
      <c r="C20" s="4" t="s">
        <v>17</v>
      </c>
      <c r="D20" s="4" t="str">
        <f t="shared" si="0"/>
        <v>tiwari.raj38@gmail.com</v>
      </c>
      <c r="E20" s="4" t="s">
        <v>65</v>
      </c>
      <c r="F20" s="4" t="s">
        <v>66</v>
      </c>
      <c r="G20" s="4" t="s">
        <v>20</v>
      </c>
      <c r="H20" s="4" t="s">
        <v>55</v>
      </c>
      <c r="I20" s="6">
        <v>44953</v>
      </c>
      <c r="J20" s="4">
        <v>3785.02</v>
      </c>
      <c r="K20" s="4">
        <v>82</v>
      </c>
      <c r="L20" s="4">
        <v>50.17</v>
      </c>
      <c r="M20" s="4">
        <f t="shared" si="1"/>
        <v>314485.58</v>
      </c>
      <c r="N20" s="4">
        <v>4221.83</v>
      </c>
      <c r="O20" s="4">
        <f t="shared" si="2"/>
        <v>346190.06</v>
      </c>
      <c r="P20" s="4">
        <f t="shared" si="3"/>
        <v>31704.479999999981</v>
      </c>
      <c r="Q20" s="4">
        <f t="shared" si="4"/>
        <v>10.081377976058546</v>
      </c>
      <c r="R20" s="4">
        <v>3.11</v>
      </c>
      <c r="S20" s="4">
        <f t="shared" si="5"/>
        <v>10766.510866000001</v>
      </c>
      <c r="T20" s="4">
        <v>4942</v>
      </c>
      <c r="U20" s="4">
        <v>3243.56</v>
      </c>
      <c r="V20" s="4" t="s">
        <v>22</v>
      </c>
      <c r="W20" s="4">
        <f>M20/$M$87*100</f>
        <v>1.1831458355346367</v>
      </c>
      <c r="X20" s="7" t="str">
        <v>38</v>
      </c>
    </row>
    <row r="21" spans="1:24" x14ac:dyDescent="0.3">
      <c r="A21" s="4">
        <v>2390</v>
      </c>
      <c r="B21" s="4" t="s">
        <v>71</v>
      </c>
      <c r="C21" s="4" t="s">
        <v>72</v>
      </c>
      <c r="D21" s="4" t="str">
        <f t="shared" si="0"/>
        <v>pandey.divya23@gmail.com</v>
      </c>
      <c r="E21" s="4" t="s">
        <v>39</v>
      </c>
      <c r="F21" s="4" t="s">
        <v>40</v>
      </c>
      <c r="G21" s="4" t="s">
        <v>41</v>
      </c>
      <c r="H21" s="4" t="s">
        <v>26</v>
      </c>
      <c r="I21" s="6">
        <v>44022</v>
      </c>
      <c r="J21" s="4">
        <v>3719.22</v>
      </c>
      <c r="K21" s="4">
        <v>197</v>
      </c>
      <c r="L21" s="4">
        <v>42.88</v>
      </c>
      <c r="M21" s="4">
        <f t="shared" si="1"/>
        <v>741133.7</v>
      </c>
      <c r="N21" s="4">
        <v>3770.76</v>
      </c>
      <c r="O21" s="4">
        <f t="shared" si="2"/>
        <v>742839.72000000009</v>
      </c>
      <c r="P21" s="4">
        <f t="shared" si="3"/>
        <v>1706.020000000135</v>
      </c>
      <c r="Q21" s="4">
        <f t="shared" si="4"/>
        <v>0.2301905850456045</v>
      </c>
      <c r="R21" s="4">
        <v>4.13</v>
      </c>
      <c r="S21" s="4">
        <f t="shared" si="5"/>
        <v>30679.280436000005</v>
      </c>
      <c r="T21" s="4">
        <v>3973.97</v>
      </c>
      <c r="U21" s="4">
        <v>2828.95</v>
      </c>
      <c r="V21" s="4" t="s">
        <v>22</v>
      </c>
      <c r="W21" s="4">
        <f>M21/$M$87*100</f>
        <v>2.7882653657104939</v>
      </c>
      <c r="X21" s="7" t="str">
        <v>23</v>
      </c>
    </row>
    <row r="22" spans="1:24" x14ac:dyDescent="0.3">
      <c r="A22" s="4">
        <v>7292</v>
      </c>
      <c r="B22" s="4" t="s">
        <v>73</v>
      </c>
      <c r="C22" s="4" t="s">
        <v>24</v>
      </c>
      <c r="D22" s="4" t="str">
        <f t="shared" si="0"/>
        <v>reddy.meera72@gmail.com</v>
      </c>
      <c r="E22" s="4" t="s">
        <v>112</v>
      </c>
      <c r="F22" s="4" t="s">
        <v>19</v>
      </c>
      <c r="G22" s="4" t="s">
        <v>41</v>
      </c>
      <c r="H22" s="4" t="s">
        <v>50</v>
      </c>
      <c r="I22" s="6">
        <v>45174</v>
      </c>
      <c r="J22" s="4">
        <v>3156.78</v>
      </c>
      <c r="K22" s="4">
        <v>197</v>
      </c>
      <c r="L22" s="4">
        <v>130.46</v>
      </c>
      <c r="M22" s="4">
        <f t="shared" si="1"/>
        <v>647586.28</v>
      </c>
      <c r="N22" s="4">
        <v>4743.5200000000004</v>
      </c>
      <c r="O22" s="4">
        <f t="shared" si="2"/>
        <v>934473.44000000006</v>
      </c>
      <c r="P22" s="4">
        <f t="shared" si="3"/>
        <v>286887.16000000003</v>
      </c>
      <c r="Q22" s="4">
        <f t="shared" si="4"/>
        <v>44.300994147065623</v>
      </c>
      <c r="R22" s="4">
        <v>4</v>
      </c>
      <c r="S22" s="4">
        <f t="shared" si="5"/>
        <v>37378.937600000005</v>
      </c>
      <c r="T22" s="4">
        <v>5077.1499999999996</v>
      </c>
      <c r="U22" s="4">
        <v>2951.42</v>
      </c>
      <c r="V22" s="4" t="s">
        <v>42</v>
      </c>
      <c r="W22" s="4">
        <f>M22/$M$87*100</f>
        <v>2.4363247762627691</v>
      </c>
      <c r="X22" s="7" t="str">
        <v>72</v>
      </c>
    </row>
    <row r="23" spans="1:24" x14ac:dyDescent="0.3">
      <c r="A23" s="4">
        <v>8613</v>
      </c>
      <c r="B23" s="4" t="s">
        <v>37</v>
      </c>
      <c r="C23" s="4" t="s">
        <v>72</v>
      </c>
      <c r="D23" s="4" t="str">
        <f t="shared" si="0"/>
        <v>pandey.deepak86@gmail.com</v>
      </c>
      <c r="E23" s="4" t="s">
        <v>74</v>
      </c>
      <c r="F23" s="4" t="s">
        <v>54</v>
      </c>
      <c r="G23" s="4" t="s">
        <v>41</v>
      </c>
      <c r="H23" s="4" t="s">
        <v>26</v>
      </c>
      <c r="I23" s="6">
        <v>45377</v>
      </c>
      <c r="J23" s="4">
        <v>4033.13</v>
      </c>
      <c r="K23" s="4">
        <v>161</v>
      </c>
      <c r="L23" s="4">
        <v>124.1</v>
      </c>
      <c r="M23" s="4">
        <f t="shared" si="1"/>
        <v>669314.03</v>
      </c>
      <c r="N23" s="4">
        <v>6082.84</v>
      </c>
      <c r="O23" s="4">
        <f t="shared" si="2"/>
        <v>979337.24</v>
      </c>
      <c r="P23" s="4">
        <f t="shared" si="3"/>
        <v>310023.20999999996</v>
      </c>
      <c r="Q23" s="4">
        <f t="shared" si="4"/>
        <v>46.319544504393548</v>
      </c>
      <c r="R23" s="4">
        <v>2.42</v>
      </c>
      <c r="S23" s="4">
        <f t="shared" si="5"/>
        <v>23699.961207999997</v>
      </c>
      <c r="T23" s="4">
        <v>7473.23</v>
      </c>
      <c r="U23" s="4">
        <v>3438.49</v>
      </c>
      <c r="V23" s="4" t="s">
        <v>27</v>
      </c>
      <c r="W23" s="4">
        <f>M23/$M$87*100</f>
        <v>2.5180681011174024</v>
      </c>
      <c r="X23" s="7" t="str">
        <v>86</v>
      </c>
    </row>
    <row r="24" spans="1:24" x14ac:dyDescent="0.3">
      <c r="A24" s="4">
        <v>9541</v>
      </c>
      <c r="B24" s="4" t="s">
        <v>73</v>
      </c>
      <c r="C24" s="4" t="s">
        <v>51</v>
      </c>
      <c r="D24" s="4" t="str">
        <f t="shared" si="0"/>
        <v>rao.meera95@gmail.com</v>
      </c>
      <c r="E24" s="4" t="s">
        <v>18</v>
      </c>
      <c r="F24" s="4" t="s">
        <v>19</v>
      </c>
      <c r="G24" s="4" t="s">
        <v>20</v>
      </c>
      <c r="H24" s="4" t="s">
        <v>55</v>
      </c>
      <c r="I24" s="6">
        <v>43989</v>
      </c>
      <c r="J24" s="4">
        <v>3268.24</v>
      </c>
      <c r="K24" s="4">
        <v>65</v>
      </c>
      <c r="L24" s="4">
        <v>48.04</v>
      </c>
      <c r="M24" s="4">
        <f t="shared" si="1"/>
        <v>215558.19999999998</v>
      </c>
      <c r="N24" s="4">
        <v>3339.33</v>
      </c>
      <c r="O24" s="4">
        <f t="shared" si="2"/>
        <v>217056.44999999998</v>
      </c>
      <c r="P24" s="4">
        <f t="shared" si="3"/>
        <v>1498.25</v>
      </c>
      <c r="Q24" s="4">
        <f t="shared" si="4"/>
        <v>0.69505590601517375</v>
      </c>
      <c r="R24" s="4">
        <v>2.93</v>
      </c>
      <c r="S24" s="4">
        <f t="shared" si="5"/>
        <v>6359.7539850000003</v>
      </c>
      <c r="T24" s="4">
        <v>3512.39</v>
      </c>
      <c r="U24" s="4">
        <v>2625.02</v>
      </c>
      <c r="V24" s="4" t="s">
        <v>27</v>
      </c>
      <c r="W24" s="4">
        <f>M24/$M$87*100</f>
        <v>0.81096496267123697</v>
      </c>
      <c r="X24" s="7" t="str">
        <v>95</v>
      </c>
    </row>
    <row r="25" spans="1:24" x14ac:dyDescent="0.3">
      <c r="A25" s="4">
        <v>4389</v>
      </c>
      <c r="B25" s="4" t="s">
        <v>75</v>
      </c>
      <c r="C25" s="4" t="s">
        <v>57</v>
      </c>
      <c r="D25" s="4" t="str">
        <f t="shared" si="0"/>
        <v>chopra.shruti43@gmail.com</v>
      </c>
      <c r="E25" s="4" t="s">
        <v>35</v>
      </c>
      <c r="F25" s="4" t="s">
        <v>36</v>
      </c>
      <c r="G25" s="4" t="s">
        <v>20</v>
      </c>
      <c r="H25" s="4" t="s">
        <v>21</v>
      </c>
      <c r="I25" s="6">
        <v>45585</v>
      </c>
      <c r="J25" s="4">
        <v>3986.82</v>
      </c>
      <c r="K25" s="4">
        <v>152</v>
      </c>
      <c r="L25" s="4">
        <v>63.25</v>
      </c>
      <c r="M25" s="4">
        <f t="shared" si="1"/>
        <v>615610.64</v>
      </c>
      <c r="N25" s="4">
        <v>3010.1</v>
      </c>
      <c r="O25" s="4">
        <f t="shared" si="2"/>
        <v>457535.2</v>
      </c>
      <c r="P25" s="4">
        <f t="shared" si="3"/>
        <v>-158075.44</v>
      </c>
      <c r="Q25" s="4">
        <f t="shared" si="4"/>
        <v>-25.677827790630779</v>
      </c>
      <c r="R25" s="4">
        <v>2.08</v>
      </c>
      <c r="S25" s="4">
        <f t="shared" si="5"/>
        <v>9516.7321599999996</v>
      </c>
      <c r="T25" s="4">
        <v>4757.47</v>
      </c>
      <c r="U25" s="4">
        <v>2848.44</v>
      </c>
      <c r="V25" s="4" t="s">
        <v>22</v>
      </c>
      <c r="W25" s="4">
        <f>M25/$M$87*100</f>
        <v>2.3160272246085571</v>
      </c>
      <c r="X25" s="7" t="str">
        <v>43</v>
      </c>
    </row>
    <row r="26" spans="1:24" x14ac:dyDescent="0.3">
      <c r="A26" s="4">
        <v>5472</v>
      </c>
      <c r="B26" s="4" t="s">
        <v>76</v>
      </c>
      <c r="C26" s="4" t="s">
        <v>77</v>
      </c>
      <c r="D26" s="4" t="str">
        <f t="shared" si="0"/>
        <v>saxena.suresh54@gmail.com</v>
      </c>
      <c r="E26" s="4" t="s">
        <v>78</v>
      </c>
      <c r="F26" s="4" t="s">
        <v>40</v>
      </c>
      <c r="G26" s="4" t="s">
        <v>20</v>
      </c>
      <c r="H26" s="4" t="s">
        <v>55</v>
      </c>
      <c r="I26" s="6">
        <v>44519</v>
      </c>
      <c r="J26" s="4">
        <v>3076.16</v>
      </c>
      <c r="K26" s="4">
        <v>108</v>
      </c>
      <c r="L26" s="4">
        <v>111.39</v>
      </c>
      <c r="M26" s="4">
        <f t="shared" si="1"/>
        <v>344255.39999999997</v>
      </c>
      <c r="N26" s="4">
        <v>4504.82</v>
      </c>
      <c r="O26" s="4">
        <f t="shared" si="2"/>
        <v>486520.55999999994</v>
      </c>
      <c r="P26" s="4">
        <f t="shared" si="3"/>
        <v>142265.15999999997</v>
      </c>
      <c r="Q26" s="4">
        <f t="shared" si="4"/>
        <v>41.325469404401495</v>
      </c>
      <c r="R26" s="4">
        <v>4.6399999999999997</v>
      </c>
      <c r="S26" s="4">
        <f t="shared" si="5"/>
        <v>22574.553983999995</v>
      </c>
      <c r="T26" s="4">
        <v>5611.05</v>
      </c>
      <c r="U26" s="4">
        <v>2685.02</v>
      </c>
      <c r="V26" s="4" t="s">
        <v>22</v>
      </c>
      <c r="W26" s="4">
        <f>M26/$M$87*100</f>
        <v>1.295144734045709</v>
      </c>
      <c r="X26" s="7" t="str">
        <v>54</v>
      </c>
    </row>
    <row r="27" spans="1:24" x14ac:dyDescent="0.3">
      <c r="A27" s="4">
        <v>3978</v>
      </c>
      <c r="B27" s="4" t="s">
        <v>79</v>
      </c>
      <c r="C27" s="4" t="s">
        <v>80</v>
      </c>
      <c r="D27" s="4" t="str">
        <f t="shared" si="0"/>
        <v>nair.vivaan39@gmail.com</v>
      </c>
      <c r="E27" s="4" t="s">
        <v>35</v>
      </c>
      <c r="F27" s="4" t="s">
        <v>36</v>
      </c>
      <c r="G27" s="4" t="s">
        <v>20</v>
      </c>
      <c r="H27" s="4" t="s">
        <v>26</v>
      </c>
      <c r="I27" s="6">
        <v>44264</v>
      </c>
      <c r="J27" s="4">
        <v>2155.21</v>
      </c>
      <c r="K27" s="4">
        <v>91</v>
      </c>
      <c r="L27" s="4">
        <v>116.57</v>
      </c>
      <c r="M27" s="4">
        <f t="shared" si="1"/>
        <v>206731.98</v>
      </c>
      <c r="N27" s="4">
        <v>2310.94</v>
      </c>
      <c r="O27" s="4">
        <f t="shared" si="2"/>
        <v>210295.54</v>
      </c>
      <c r="P27" s="4">
        <f t="shared" si="3"/>
        <v>3563.5599999999977</v>
      </c>
      <c r="Q27" s="4">
        <f t="shared" si="4"/>
        <v>1.72375846252718</v>
      </c>
      <c r="R27" s="4">
        <v>3.88</v>
      </c>
      <c r="S27" s="4">
        <f t="shared" si="5"/>
        <v>8159.4669519999998</v>
      </c>
      <c r="T27" s="4">
        <v>2799.34</v>
      </c>
      <c r="U27" s="4">
        <v>1741.46</v>
      </c>
      <c r="V27" s="4" t="s">
        <v>27</v>
      </c>
      <c r="W27" s="4">
        <f>M27/$M$87*100</f>
        <v>0.7777592893411196</v>
      </c>
      <c r="X27" s="7" t="str">
        <v>39</v>
      </c>
    </row>
    <row r="28" spans="1:24" x14ac:dyDescent="0.3">
      <c r="A28" s="4">
        <v>2125</v>
      </c>
      <c r="B28" s="4" t="s">
        <v>46</v>
      </c>
      <c r="C28" s="4" t="s">
        <v>32</v>
      </c>
      <c r="D28" s="4" t="str">
        <f t="shared" si="0"/>
        <v>verma.gaurav21@gmail.com</v>
      </c>
      <c r="E28" s="4" t="s">
        <v>48</v>
      </c>
      <c r="F28" s="4" t="s">
        <v>49</v>
      </c>
      <c r="G28" s="4" t="s">
        <v>41</v>
      </c>
      <c r="H28" s="4" t="s">
        <v>21</v>
      </c>
      <c r="I28" s="6">
        <v>44337</v>
      </c>
      <c r="J28" s="4">
        <v>1057.25</v>
      </c>
      <c r="K28" s="4">
        <v>10</v>
      </c>
      <c r="L28" s="4">
        <v>96.99</v>
      </c>
      <c r="M28" s="4">
        <f t="shared" si="1"/>
        <v>11542.4</v>
      </c>
      <c r="N28" s="4">
        <v>1007.31</v>
      </c>
      <c r="O28" s="4">
        <f t="shared" si="2"/>
        <v>10073.099999999999</v>
      </c>
      <c r="P28" s="4">
        <f t="shared" si="3"/>
        <v>-1469.3000000000011</v>
      </c>
      <c r="Q28" s="4">
        <f t="shared" si="4"/>
        <v>-12.729588300526764</v>
      </c>
      <c r="R28" s="4">
        <v>2.63</v>
      </c>
      <c r="S28" s="4">
        <f t="shared" si="5"/>
        <v>264.92252999999994</v>
      </c>
      <c r="T28" s="4">
        <v>1106.21</v>
      </c>
      <c r="U28" s="4">
        <v>975.06</v>
      </c>
      <c r="V28" s="4" t="s">
        <v>22</v>
      </c>
      <c r="W28" s="4">
        <f>M28/$M$87*100</f>
        <v>4.3424383693761059E-2</v>
      </c>
      <c r="X28" s="7" t="str">
        <v>21</v>
      </c>
    </row>
    <row r="29" spans="1:24" x14ac:dyDescent="0.3">
      <c r="A29" s="4">
        <v>2877</v>
      </c>
      <c r="B29" s="4" t="s">
        <v>46</v>
      </c>
      <c r="C29" s="4" t="s">
        <v>81</v>
      </c>
      <c r="D29" s="4" t="str">
        <f t="shared" si="0"/>
        <v>mehta.gaurav28@gmail.com</v>
      </c>
      <c r="E29" s="4" t="s">
        <v>65</v>
      </c>
      <c r="F29" s="4" t="s">
        <v>66</v>
      </c>
      <c r="G29" s="4" t="s">
        <v>20</v>
      </c>
      <c r="H29" s="4" t="s">
        <v>21</v>
      </c>
      <c r="I29" s="6">
        <v>45016</v>
      </c>
      <c r="J29" s="4">
        <v>310.42</v>
      </c>
      <c r="K29" s="4">
        <v>84</v>
      </c>
      <c r="L29" s="4">
        <v>90.61</v>
      </c>
      <c r="M29" s="4">
        <f t="shared" si="1"/>
        <v>33686.520000000004</v>
      </c>
      <c r="N29" s="4">
        <v>472.4</v>
      </c>
      <c r="O29" s="4">
        <f t="shared" si="2"/>
        <v>39681.599999999999</v>
      </c>
      <c r="P29" s="4">
        <f t="shared" si="3"/>
        <v>5995.0799999999945</v>
      </c>
      <c r="Q29" s="4">
        <f t="shared" si="4"/>
        <v>17.796673565568639</v>
      </c>
      <c r="R29" s="4">
        <v>2.19</v>
      </c>
      <c r="S29" s="4">
        <f t="shared" si="5"/>
        <v>869.02703999999994</v>
      </c>
      <c r="T29" s="4">
        <v>584.14</v>
      </c>
      <c r="U29" s="4">
        <v>246.98</v>
      </c>
      <c r="V29" s="4" t="s">
        <v>42</v>
      </c>
      <c r="W29" s="4">
        <f>M29/$M$87*100</f>
        <v>0.12673416012160002</v>
      </c>
      <c r="X29" s="7" t="str">
        <v>28</v>
      </c>
    </row>
    <row r="30" spans="1:24" x14ac:dyDescent="0.3">
      <c r="A30" s="4">
        <v>2984</v>
      </c>
      <c r="B30" s="4" t="s">
        <v>82</v>
      </c>
      <c r="C30" s="4" t="s">
        <v>17</v>
      </c>
      <c r="D30" s="4" t="str">
        <f t="shared" si="0"/>
        <v>tiwari.riya29@gmail.com</v>
      </c>
      <c r="E30" s="4" t="s">
        <v>33</v>
      </c>
      <c r="F30" s="4" t="s">
        <v>25</v>
      </c>
      <c r="G30" s="4" t="s">
        <v>20</v>
      </c>
      <c r="H30" s="4" t="s">
        <v>21</v>
      </c>
      <c r="I30" s="6">
        <v>44542</v>
      </c>
      <c r="J30" s="4">
        <v>2490.8000000000002</v>
      </c>
      <c r="K30" s="4">
        <v>174</v>
      </c>
      <c r="L30" s="4">
        <v>61.88</v>
      </c>
      <c r="M30" s="4">
        <f t="shared" si="1"/>
        <v>444166.32</v>
      </c>
      <c r="N30" s="4">
        <v>2939.31</v>
      </c>
      <c r="O30" s="4">
        <f t="shared" si="2"/>
        <v>511439.94</v>
      </c>
      <c r="P30" s="4">
        <f t="shared" si="3"/>
        <v>67273.62</v>
      </c>
      <c r="Q30" s="4">
        <f t="shared" si="4"/>
        <v>15.146042590532302</v>
      </c>
      <c r="R30" s="4">
        <v>2.04</v>
      </c>
      <c r="S30" s="4">
        <f t="shared" si="5"/>
        <v>10433.374776000001</v>
      </c>
      <c r="T30" s="4">
        <v>3572.44</v>
      </c>
      <c r="U30" s="4">
        <v>2339.1999999999998</v>
      </c>
      <c r="V30" s="4" t="s">
        <v>27</v>
      </c>
      <c r="W30" s="4">
        <f>M30/$M$87*100</f>
        <v>1.6710258441507708</v>
      </c>
      <c r="X30" s="7" t="str">
        <v>29</v>
      </c>
    </row>
    <row r="31" spans="1:24" x14ac:dyDescent="0.3">
      <c r="A31" s="4">
        <v>3886</v>
      </c>
      <c r="B31" s="4" t="s">
        <v>52</v>
      </c>
      <c r="C31" s="4" t="s">
        <v>72</v>
      </c>
      <c r="D31" s="4" t="str">
        <f t="shared" si="0"/>
        <v>pandey.mohit38@gmail.com</v>
      </c>
      <c r="E31" s="4" t="s">
        <v>114</v>
      </c>
      <c r="F31" s="4" t="s">
        <v>40</v>
      </c>
      <c r="G31" s="4" t="s">
        <v>20</v>
      </c>
      <c r="H31" s="4" t="s">
        <v>26</v>
      </c>
      <c r="I31" s="6">
        <v>45092</v>
      </c>
      <c r="J31" s="4">
        <v>3675.26</v>
      </c>
      <c r="K31" s="4">
        <v>142</v>
      </c>
      <c r="L31" s="4">
        <v>118.45</v>
      </c>
      <c r="M31" s="4">
        <f t="shared" si="1"/>
        <v>538706.82000000007</v>
      </c>
      <c r="N31" s="4">
        <v>4208.7</v>
      </c>
      <c r="O31" s="4">
        <f t="shared" si="2"/>
        <v>597635.4</v>
      </c>
      <c r="P31" s="4">
        <f t="shared" si="3"/>
        <v>58928.579999999958</v>
      </c>
      <c r="Q31" s="4">
        <f t="shared" si="4"/>
        <v>10.938896225594462</v>
      </c>
      <c r="R31" s="4">
        <v>4.22</v>
      </c>
      <c r="S31" s="4">
        <f t="shared" si="5"/>
        <v>25220.213879999999</v>
      </c>
      <c r="T31" s="4">
        <v>4866.3900000000003</v>
      </c>
      <c r="U31" s="4">
        <v>3028.89</v>
      </c>
      <c r="V31" s="4" t="s">
        <v>27</v>
      </c>
      <c r="W31" s="4">
        <f>M31/$M$87*100</f>
        <v>2.0267025618697914</v>
      </c>
      <c r="X31" s="7" t="str">
        <v>38</v>
      </c>
    </row>
    <row r="32" spans="1:24" x14ac:dyDescent="0.3">
      <c r="A32" s="4">
        <v>7210</v>
      </c>
      <c r="B32" s="4" t="s">
        <v>83</v>
      </c>
      <c r="C32" s="4" t="s">
        <v>84</v>
      </c>
      <c r="D32" s="4" t="str">
        <f t="shared" si="0"/>
        <v>sharma.rahul72@gmail.com</v>
      </c>
      <c r="E32" s="4" t="s">
        <v>58</v>
      </c>
      <c r="F32" s="4" t="s">
        <v>59</v>
      </c>
      <c r="G32" s="4" t="s">
        <v>20</v>
      </c>
      <c r="H32" s="4" t="s">
        <v>26</v>
      </c>
      <c r="I32" s="6">
        <v>44203</v>
      </c>
      <c r="J32" s="4">
        <v>2296.46</v>
      </c>
      <c r="K32" s="4">
        <v>95</v>
      </c>
      <c r="L32" s="4">
        <v>121.7</v>
      </c>
      <c r="M32" s="4">
        <f t="shared" si="1"/>
        <v>229725.2</v>
      </c>
      <c r="N32" s="4">
        <v>2386.6799999999998</v>
      </c>
      <c r="O32" s="4">
        <f t="shared" si="2"/>
        <v>226734.59999999998</v>
      </c>
      <c r="P32" s="4">
        <f t="shared" si="3"/>
        <v>-2990.6000000000349</v>
      </c>
      <c r="Q32" s="4">
        <f t="shared" si="4"/>
        <v>-1.3018162569887999</v>
      </c>
      <c r="R32" s="4">
        <v>4.46</v>
      </c>
      <c r="S32" s="4">
        <f t="shared" si="5"/>
        <v>10112.363159999999</v>
      </c>
      <c r="T32" s="4">
        <v>2819.32</v>
      </c>
      <c r="U32" s="4">
        <v>1868.27</v>
      </c>
      <c r="V32" s="4" t="s">
        <v>27</v>
      </c>
      <c r="W32" s="4">
        <f>M32/$M$87*100</f>
        <v>0.86426351789281253</v>
      </c>
      <c r="X32" s="7" t="str">
        <v>72</v>
      </c>
    </row>
    <row r="33" spans="1:24" x14ac:dyDescent="0.3">
      <c r="A33" s="4">
        <v>4938</v>
      </c>
      <c r="B33" s="4" t="s">
        <v>85</v>
      </c>
      <c r="C33" s="4" t="s">
        <v>77</v>
      </c>
      <c r="D33" s="4" t="str">
        <f t="shared" si="0"/>
        <v>saxena.nitin49@gmail.com</v>
      </c>
      <c r="E33" s="4" t="s">
        <v>114</v>
      </c>
      <c r="F33" s="4" t="s">
        <v>40</v>
      </c>
      <c r="G33" s="4" t="s">
        <v>20</v>
      </c>
      <c r="H33" s="4" t="s">
        <v>55</v>
      </c>
      <c r="I33" s="6">
        <v>44748</v>
      </c>
      <c r="J33" s="4">
        <v>3609.61</v>
      </c>
      <c r="K33" s="4">
        <v>28</v>
      </c>
      <c r="L33" s="4">
        <v>51.19</v>
      </c>
      <c r="M33" s="4">
        <f t="shared" si="1"/>
        <v>102502.40000000001</v>
      </c>
      <c r="N33" s="4">
        <v>3947.98</v>
      </c>
      <c r="O33" s="4">
        <f t="shared" si="2"/>
        <v>110543.44</v>
      </c>
      <c r="P33" s="4">
        <f t="shared" si="3"/>
        <v>8041.0399999999936</v>
      </c>
      <c r="Q33" s="4">
        <f t="shared" si="4"/>
        <v>7.8447333916083846</v>
      </c>
      <c r="R33" s="4">
        <v>1.59</v>
      </c>
      <c r="S33" s="4">
        <f t="shared" si="5"/>
        <v>1757.6406960000002</v>
      </c>
      <c r="T33" s="4">
        <v>4629.84</v>
      </c>
      <c r="U33" s="4">
        <v>3013.57</v>
      </c>
      <c r="V33" s="4" t="s">
        <v>42</v>
      </c>
      <c r="W33" s="4">
        <f>M33/$M$87*100</f>
        <v>0.3856306788130176</v>
      </c>
      <c r="X33" s="7" t="str">
        <v>49</v>
      </c>
    </row>
    <row r="34" spans="1:24" x14ac:dyDescent="0.3">
      <c r="A34" s="4">
        <v>5439</v>
      </c>
      <c r="B34" s="4" t="s">
        <v>71</v>
      </c>
      <c r="C34" s="4" t="s">
        <v>80</v>
      </c>
      <c r="D34" s="4" t="str">
        <f t="shared" ref="D34:D65" si="6">LOWER(_xlfn.CONCAT(C34,".",B34,X34,"@gmail.com"))</f>
        <v>nair.divya54@gmail.com</v>
      </c>
      <c r="E34" s="4" t="s">
        <v>112</v>
      </c>
      <c r="F34" s="4" t="s">
        <v>19</v>
      </c>
      <c r="G34" s="4" t="s">
        <v>41</v>
      </c>
      <c r="H34" s="4" t="s">
        <v>21</v>
      </c>
      <c r="I34" s="6">
        <v>45308</v>
      </c>
      <c r="J34" s="4">
        <v>1028.1099999999999</v>
      </c>
      <c r="K34" s="4">
        <v>35</v>
      </c>
      <c r="L34" s="4">
        <v>114</v>
      </c>
      <c r="M34" s="4">
        <f t="shared" ref="M34:M65" si="7">J34*K34+(L34*K34)</f>
        <v>39973.85</v>
      </c>
      <c r="N34" s="4">
        <v>1602.05</v>
      </c>
      <c r="O34" s="4">
        <f t="shared" ref="O34:O65" si="8">N34*K34</f>
        <v>56071.75</v>
      </c>
      <c r="P34" s="4">
        <f t="shared" ref="P34:P65" si="9">O34-M34</f>
        <v>16097.900000000001</v>
      </c>
      <c r="Q34" s="4">
        <f t="shared" ref="Q34:Q65" si="10">P34/M34*100</f>
        <v>40.271077216730447</v>
      </c>
      <c r="R34" s="4">
        <v>3.61</v>
      </c>
      <c r="S34" s="4">
        <f t="shared" ref="S34:S65" si="11">O34*R34/100</f>
        <v>2024.190175</v>
      </c>
      <c r="T34" s="4">
        <v>1704.67</v>
      </c>
      <c r="U34" s="4">
        <v>945.74</v>
      </c>
      <c r="V34" s="4" t="s">
        <v>27</v>
      </c>
      <c r="W34" s="4">
        <f>M34/$M$87*100</f>
        <v>0.15038811686623668</v>
      </c>
      <c r="X34" s="7" t="str">
        <v>54</v>
      </c>
    </row>
    <row r="35" spans="1:24" x14ac:dyDescent="0.3">
      <c r="A35" s="4">
        <v>1842</v>
      </c>
      <c r="B35" s="4" t="s">
        <v>86</v>
      </c>
      <c r="C35" s="4" t="s">
        <v>77</v>
      </c>
      <c r="D35" s="4" t="str">
        <f t="shared" si="6"/>
        <v>saxena.pooja18@gmail.com</v>
      </c>
      <c r="E35" s="4" t="s">
        <v>87</v>
      </c>
      <c r="F35" s="4" t="s">
        <v>19</v>
      </c>
      <c r="G35" s="4" t="s">
        <v>20</v>
      </c>
      <c r="H35" s="4" t="s">
        <v>21</v>
      </c>
      <c r="I35" s="6">
        <v>44651</v>
      </c>
      <c r="J35" s="4">
        <v>2314.5100000000002</v>
      </c>
      <c r="K35" s="4">
        <v>152</v>
      </c>
      <c r="L35" s="4">
        <v>98.12</v>
      </c>
      <c r="M35" s="4">
        <f t="shared" si="7"/>
        <v>366719.76</v>
      </c>
      <c r="N35" s="4">
        <v>1841.35</v>
      </c>
      <c r="O35" s="4">
        <f t="shared" si="8"/>
        <v>279885.2</v>
      </c>
      <c r="P35" s="4">
        <f t="shared" si="9"/>
        <v>-86834.559999999998</v>
      </c>
      <c r="Q35" s="4">
        <f t="shared" si="10"/>
        <v>-23.678724048030571</v>
      </c>
      <c r="R35" s="4">
        <v>1.17</v>
      </c>
      <c r="S35" s="4">
        <f t="shared" si="11"/>
        <v>3274.6568400000001</v>
      </c>
      <c r="T35" s="4">
        <v>2660.42</v>
      </c>
      <c r="U35" s="4">
        <v>1509.69</v>
      </c>
      <c r="V35" s="4" t="s">
        <v>27</v>
      </c>
      <c r="W35" s="4">
        <f>M35/$M$87*100</f>
        <v>1.3796593053718438</v>
      </c>
      <c r="X35" s="7" t="str">
        <v>18</v>
      </c>
    </row>
    <row r="36" spans="1:24" x14ac:dyDescent="0.3">
      <c r="A36" s="4">
        <v>9562</v>
      </c>
      <c r="B36" s="4" t="s">
        <v>60</v>
      </c>
      <c r="C36" s="4" t="s">
        <v>63</v>
      </c>
      <c r="D36" s="4" t="str">
        <f t="shared" si="6"/>
        <v>malhotra.amit95@gmail.com</v>
      </c>
      <c r="E36" s="4" t="s">
        <v>115</v>
      </c>
      <c r="F36" s="4" t="s">
        <v>59</v>
      </c>
      <c r="G36" s="4" t="s">
        <v>20</v>
      </c>
      <c r="H36" s="4" t="s">
        <v>55</v>
      </c>
      <c r="I36" s="6">
        <v>44439</v>
      </c>
      <c r="J36" s="4">
        <v>3898.72</v>
      </c>
      <c r="K36" s="4">
        <v>114</v>
      </c>
      <c r="L36" s="4">
        <v>52.75</v>
      </c>
      <c r="M36" s="4">
        <f t="shared" si="7"/>
        <v>450467.57999999996</v>
      </c>
      <c r="N36" s="4">
        <v>4982.07</v>
      </c>
      <c r="O36" s="4">
        <f t="shared" si="8"/>
        <v>567955.98</v>
      </c>
      <c r="P36" s="4">
        <f t="shared" si="9"/>
        <v>117488.40000000002</v>
      </c>
      <c r="Q36" s="4">
        <f t="shared" si="10"/>
        <v>26.081432985698999</v>
      </c>
      <c r="R36" s="4">
        <v>3.24</v>
      </c>
      <c r="S36" s="4">
        <f t="shared" si="11"/>
        <v>18401.773752000001</v>
      </c>
      <c r="T36" s="4">
        <v>5929.76</v>
      </c>
      <c r="U36" s="4">
        <v>3773.75</v>
      </c>
      <c r="V36" s="4" t="s">
        <v>27</v>
      </c>
      <c r="W36" s="4">
        <f>M36/$M$87*100</f>
        <v>1.6947322078181317</v>
      </c>
      <c r="X36" s="7" t="str">
        <v>95</v>
      </c>
    </row>
    <row r="37" spans="1:24" x14ac:dyDescent="0.3">
      <c r="A37" s="4">
        <v>3565</v>
      </c>
      <c r="B37" s="4" t="s">
        <v>62</v>
      </c>
      <c r="C37" s="4" t="s">
        <v>57</v>
      </c>
      <c r="D37" s="4" t="str">
        <f t="shared" si="6"/>
        <v>chopra.aarav35@gmail.com</v>
      </c>
      <c r="E37" s="4" t="s">
        <v>88</v>
      </c>
      <c r="F37" s="4" t="s">
        <v>59</v>
      </c>
      <c r="G37" s="4" t="s">
        <v>41</v>
      </c>
      <c r="H37" s="4" t="s">
        <v>55</v>
      </c>
      <c r="I37" s="6">
        <v>44427</v>
      </c>
      <c r="J37" s="4">
        <v>340.35</v>
      </c>
      <c r="K37" s="4">
        <v>78</v>
      </c>
      <c r="L37" s="4">
        <v>108.97</v>
      </c>
      <c r="M37" s="4">
        <f t="shared" si="7"/>
        <v>35046.960000000006</v>
      </c>
      <c r="N37" s="4">
        <v>458.64</v>
      </c>
      <c r="O37" s="4">
        <f t="shared" si="8"/>
        <v>35773.919999999998</v>
      </c>
      <c r="P37" s="4">
        <f t="shared" si="9"/>
        <v>726.95999999999185</v>
      </c>
      <c r="Q37" s="4">
        <f t="shared" si="10"/>
        <v>2.0742455265734652</v>
      </c>
      <c r="R37" s="4">
        <v>2.54</v>
      </c>
      <c r="S37" s="4">
        <f t="shared" si="11"/>
        <v>908.65756800000008</v>
      </c>
      <c r="T37" s="4">
        <v>540.32000000000005</v>
      </c>
      <c r="U37" s="4">
        <v>327.58999999999997</v>
      </c>
      <c r="V37" s="4" t="s">
        <v>42</v>
      </c>
      <c r="W37" s="4">
        <f>M37/$M$87*100</f>
        <v>0.13185235638514489</v>
      </c>
      <c r="X37" s="7" t="str">
        <v>35</v>
      </c>
    </row>
    <row r="38" spans="1:24" x14ac:dyDescent="0.3">
      <c r="A38" s="4">
        <v>8079</v>
      </c>
      <c r="B38" s="4" t="s">
        <v>52</v>
      </c>
      <c r="C38" s="4" t="s">
        <v>89</v>
      </c>
      <c r="D38" s="4" t="str">
        <f t="shared" si="6"/>
        <v>iyer.mohit80@gmail.com</v>
      </c>
      <c r="E38" s="4" t="s">
        <v>64</v>
      </c>
      <c r="F38" s="4" t="s">
        <v>40</v>
      </c>
      <c r="G38" s="4" t="s">
        <v>41</v>
      </c>
      <c r="H38" s="4" t="s">
        <v>26</v>
      </c>
      <c r="I38" s="6">
        <v>43883</v>
      </c>
      <c r="J38" s="4">
        <v>592.71</v>
      </c>
      <c r="K38" s="4">
        <v>177</v>
      </c>
      <c r="L38" s="4">
        <v>127.03</v>
      </c>
      <c r="M38" s="4">
        <f t="shared" si="7"/>
        <v>127393.98000000001</v>
      </c>
      <c r="N38" s="4">
        <v>734.32</v>
      </c>
      <c r="O38" s="4">
        <f t="shared" si="8"/>
        <v>129974.64000000001</v>
      </c>
      <c r="P38" s="4">
        <f t="shared" si="9"/>
        <v>2580.6600000000035</v>
      </c>
      <c r="Q38" s="4">
        <f t="shared" si="10"/>
        <v>2.0257315141578931</v>
      </c>
      <c r="R38" s="4">
        <v>4.78</v>
      </c>
      <c r="S38" s="4">
        <f t="shared" si="11"/>
        <v>6212.787792000001</v>
      </c>
      <c r="T38" s="4">
        <v>917.83</v>
      </c>
      <c r="U38" s="4">
        <v>536.17999999999995</v>
      </c>
      <c r="V38" s="4" t="s">
        <v>27</v>
      </c>
      <c r="W38" s="4">
        <f>M38/$M$87*100</f>
        <v>0.47927684604547777</v>
      </c>
      <c r="X38" s="7" t="str">
        <v>80</v>
      </c>
    </row>
    <row r="39" spans="1:24" x14ac:dyDescent="0.3">
      <c r="A39" s="4">
        <v>5136</v>
      </c>
      <c r="B39" s="4" t="s">
        <v>83</v>
      </c>
      <c r="C39" s="4" t="s">
        <v>38</v>
      </c>
      <c r="D39" s="4" t="str">
        <f t="shared" si="6"/>
        <v>patel.rahul51@gmail.com</v>
      </c>
      <c r="E39" s="4" t="s">
        <v>48</v>
      </c>
      <c r="F39" s="4" t="s">
        <v>49</v>
      </c>
      <c r="G39" s="4" t="s">
        <v>41</v>
      </c>
      <c r="H39" s="4" t="s">
        <v>55</v>
      </c>
      <c r="I39" s="6">
        <v>45602</v>
      </c>
      <c r="J39" s="4">
        <v>2412.7600000000002</v>
      </c>
      <c r="K39" s="4">
        <v>5</v>
      </c>
      <c r="L39" s="4">
        <v>102.07</v>
      </c>
      <c r="M39" s="4">
        <f t="shared" si="7"/>
        <v>12574.150000000001</v>
      </c>
      <c r="N39" s="4">
        <v>2922.35</v>
      </c>
      <c r="O39" s="4">
        <f t="shared" si="8"/>
        <v>14611.75</v>
      </c>
      <c r="P39" s="4">
        <f t="shared" si="9"/>
        <v>2037.5999999999985</v>
      </c>
      <c r="Q39" s="4">
        <f t="shared" si="10"/>
        <v>16.204673874575999</v>
      </c>
      <c r="R39" s="4">
        <v>2.36</v>
      </c>
      <c r="S39" s="4">
        <f t="shared" si="11"/>
        <v>344.83729999999997</v>
      </c>
      <c r="T39" s="4">
        <v>3106.88</v>
      </c>
      <c r="U39" s="4">
        <v>2010.33</v>
      </c>
      <c r="V39" s="4" t="s">
        <v>22</v>
      </c>
      <c r="W39" s="4">
        <f>M39/$M$87*100</f>
        <v>4.7305994786431389E-2</v>
      </c>
      <c r="X39" s="7" t="str">
        <v>51</v>
      </c>
    </row>
    <row r="40" spans="1:24" x14ac:dyDescent="0.3">
      <c r="A40" s="4">
        <v>8179</v>
      </c>
      <c r="B40" s="4" t="s">
        <v>34</v>
      </c>
      <c r="C40" s="4" t="s">
        <v>77</v>
      </c>
      <c r="D40" s="4" t="str">
        <f t="shared" si="6"/>
        <v>saxena.tanvi81@gmail.com</v>
      </c>
      <c r="E40" s="4" t="s">
        <v>87</v>
      </c>
      <c r="F40" s="4" t="s">
        <v>19</v>
      </c>
      <c r="G40" s="4" t="s">
        <v>20</v>
      </c>
      <c r="H40" s="4" t="s">
        <v>21</v>
      </c>
      <c r="I40" s="6">
        <v>45121</v>
      </c>
      <c r="J40" s="4">
        <v>2818.15</v>
      </c>
      <c r="K40" s="4">
        <v>66</v>
      </c>
      <c r="L40" s="4">
        <v>109.37</v>
      </c>
      <c r="M40" s="4">
        <f t="shared" si="7"/>
        <v>193216.32</v>
      </c>
      <c r="N40" s="4">
        <v>2857.99</v>
      </c>
      <c r="O40" s="4">
        <f t="shared" si="8"/>
        <v>188627.34</v>
      </c>
      <c r="P40" s="4">
        <f t="shared" si="9"/>
        <v>-4588.9800000000105</v>
      </c>
      <c r="Q40" s="4">
        <f t="shared" si="10"/>
        <v>-2.3750478220473354</v>
      </c>
      <c r="R40" s="4">
        <v>0.56000000000000005</v>
      </c>
      <c r="S40" s="4">
        <f t="shared" si="11"/>
        <v>1056.3131040000001</v>
      </c>
      <c r="T40" s="4">
        <v>3183.34</v>
      </c>
      <c r="U40" s="4">
        <v>2259.2600000000002</v>
      </c>
      <c r="V40" s="4" t="s">
        <v>27</v>
      </c>
      <c r="W40" s="4">
        <f>M40/$M$87*100</f>
        <v>0.72691118100018359</v>
      </c>
      <c r="X40" s="7" t="str">
        <v>81</v>
      </c>
    </row>
    <row r="41" spans="1:24" x14ac:dyDescent="0.3">
      <c r="A41" s="4">
        <v>9338</v>
      </c>
      <c r="B41" s="4" t="s">
        <v>85</v>
      </c>
      <c r="C41" s="4" t="s">
        <v>80</v>
      </c>
      <c r="D41" s="4" t="str">
        <f t="shared" si="6"/>
        <v>nair.nitin93@gmail.com</v>
      </c>
      <c r="E41" s="4" t="s">
        <v>90</v>
      </c>
      <c r="F41" s="4" t="s">
        <v>59</v>
      </c>
      <c r="G41" s="4" t="s">
        <v>20</v>
      </c>
      <c r="H41" s="4" t="s">
        <v>55</v>
      </c>
      <c r="I41" s="6">
        <v>44798</v>
      </c>
      <c r="J41" s="4">
        <v>1248.04</v>
      </c>
      <c r="K41" s="4">
        <v>146</v>
      </c>
      <c r="L41" s="4">
        <v>30.25</v>
      </c>
      <c r="M41" s="4">
        <f t="shared" si="7"/>
        <v>186630.34</v>
      </c>
      <c r="N41" s="4">
        <v>1138.24</v>
      </c>
      <c r="O41" s="4">
        <f t="shared" si="8"/>
        <v>166183.04000000001</v>
      </c>
      <c r="P41" s="4">
        <f t="shared" si="9"/>
        <v>-20447.299999999988</v>
      </c>
      <c r="Q41" s="4">
        <f t="shared" si="10"/>
        <v>-10.956042838479526</v>
      </c>
      <c r="R41" s="4">
        <v>3.2</v>
      </c>
      <c r="S41" s="4">
        <f t="shared" si="11"/>
        <v>5317.8572800000002</v>
      </c>
      <c r="T41" s="4">
        <v>1487.22</v>
      </c>
      <c r="U41" s="4">
        <v>889.42</v>
      </c>
      <c r="V41" s="4" t="s">
        <v>27</v>
      </c>
      <c r="W41" s="4">
        <f>M41/$M$87*100</f>
        <v>0.70213365444423015</v>
      </c>
      <c r="X41" s="7" t="str">
        <v>93</v>
      </c>
    </row>
    <row r="42" spans="1:24" x14ac:dyDescent="0.3">
      <c r="A42" s="4">
        <v>1043</v>
      </c>
      <c r="B42" s="4" t="s">
        <v>71</v>
      </c>
      <c r="C42" s="4" t="s">
        <v>91</v>
      </c>
      <c r="D42" s="4" t="str">
        <f t="shared" si="6"/>
        <v>kumar.divya10@gmail.com</v>
      </c>
      <c r="E42" s="4" t="s">
        <v>92</v>
      </c>
      <c r="F42" s="4" t="s">
        <v>25</v>
      </c>
      <c r="G42" s="4" t="s">
        <v>41</v>
      </c>
      <c r="H42" s="4" t="s">
        <v>55</v>
      </c>
      <c r="I42" s="6">
        <v>45603</v>
      </c>
      <c r="J42" s="4">
        <v>838.96</v>
      </c>
      <c r="K42" s="4">
        <v>142</v>
      </c>
      <c r="L42" s="4">
        <v>77.81</v>
      </c>
      <c r="M42" s="4">
        <f t="shared" si="7"/>
        <v>130181.34000000001</v>
      </c>
      <c r="N42" s="4">
        <v>866.29</v>
      </c>
      <c r="O42" s="4">
        <f t="shared" si="8"/>
        <v>123013.18</v>
      </c>
      <c r="P42" s="4">
        <f t="shared" si="9"/>
        <v>-7168.160000000018</v>
      </c>
      <c r="Q42" s="4">
        <f t="shared" si="10"/>
        <v>-5.5062883820369475</v>
      </c>
      <c r="R42" s="4">
        <v>3.93</v>
      </c>
      <c r="S42" s="4">
        <f t="shared" si="11"/>
        <v>4834.417974</v>
      </c>
      <c r="T42" s="4">
        <v>958.77</v>
      </c>
      <c r="U42" s="4">
        <v>809.22</v>
      </c>
      <c r="V42" s="4" t="s">
        <v>27</v>
      </c>
      <c r="W42" s="4">
        <f>M42/$M$87*100</f>
        <v>0.48976334713126946</v>
      </c>
      <c r="X42" s="7" t="str">
        <v>10</v>
      </c>
    </row>
    <row r="43" spans="1:24" x14ac:dyDescent="0.3">
      <c r="A43" s="4">
        <v>6214</v>
      </c>
      <c r="B43" s="4" t="s">
        <v>52</v>
      </c>
      <c r="C43" s="4" t="s">
        <v>77</v>
      </c>
      <c r="D43" s="4" t="str">
        <f t="shared" si="6"/>
        <v>saxena.mohit62@gmail.com</v>
      </c>
      <c r="E43" s="4" t="s">
        <v>93</v>
      </c>
      <c r="F43" s="4" t="s">
        <v>49</v>
      </c>
      <c r="G43" s="4" t="s">
        <v>20</v>
      </c>
      <c r="H43" s="4" t="s">
        <v>55</v>
      </c>
      <c r="I43" s="6">
        <v>44621</v>
      </c>
      <c r="J43" s="4">
        <v>4450.18</v>
      </c>
      <c r="K43" s="4">
        <v>171</v>
      </c>
      <c r="L43" s="4">
        <v>147.31</v>
      </c>
      <c r="M43" s="4">
        <f t="shared" si="7"/>
        <v>786170.79</v>
      </c>
      <c r="N43" s="4">
        <v>5211.29</v>
      </c>
      <c r="O43" s="4">
        <f t="shared" si="8"/>
        <v>891130.59</v>
      </c>
      <c r="P43" s="4">
        <f t="shared" si="9"/>
        <v>104959.79999999993</v>
      </c>
      <c r="Q43" s="4">
        <f t="shared" si="10"/>
        <v>13.350763133796912</v>
      </c>
      <c r="R43" s="4">
        <v>0.67</v>
      </c>
      <c r="S43" s="4">
        <f t="shared" si="11"/>
        <v>5970.5749530000003</v>
      </c>
      <c r="T43" s="4">
        <v>5917.56</v>
      </c>
      <c r="U43" s="4">
        <v>3941.71</v>
      </c>
      <c r="V43" s="4" t="s">
        <v>27</v>
      </c>
      <c r="W43" s="4">
        <f>M43/$M$87*100</f>
        <v>2.9577022139058822</v>
      </c>
      <c r="X43" s="7" t="str">
        <v>62</v>
      </c>
    </row>
    <row r="44" spans="1:24" x14ac:dyDescent="0.3">
      <c r="A44" s="4">
        <v>7718</v>
      </c>
      <c r="B44" s="4" t="s">
        <v>94</v>
      </c>
      <c r="C44" s="4" t="s">
        <v>95</v>
      </c>
      <c r="D44" s="4" t="str">
        <f t="shared" si="6"/>
        <v>gupta.kavya77@gmail.com</v>
      </c>
      <c r="E44" s="4" t="s">
        <v>116</v>
      </c>
      <c r="F44" s="4" t="s">
        <v>25</v>
      </c>
      <c r="G44" s="4" t="s">
        <v>20</v>
      </c>
      <c r="H44" s="4" t="s">
        <v>55</v>
      </c>
      <c r="I44" s="6">
        <v>45431</v>
      </c>
      <c r="J44" s="4">
        <v>4367.58</v>
      </c>
      <c r="K44" s="4">
        <v>91</v>
      </c>
      <c r="L44" s="4">
        <v>97.26</v>
      </c>
      <c r="M44" s="4">
        <f t="shared" si="7"/>
        <v>406300.43999999994</v>
      </c>
      <c r="N44" s="4">
        <v>4751.32</v>
      </c>
      <c r="O44" s="4">
        <f t="shared" si="8"/>
        <v>432370.12</v>
      </c>
      <c r="P44" s="4">
        <f t="shared" si="9"/>
        <v>26069.680000000051</v>
      </c>
      <c r="Q44" s="4">
        <f t="shared" si="10"/>
        <v>6.4163553453203388</v>
      </c>
      <c r="R44" s="4">
        <v>0.86</v>
      </c>
      <c r="S44" s="4">
        <f t="shared" si="11"/>
        <v>3718.3830319999997</v>
      </c>
      <c r="T44" s="4">
        <v>5205.3999999999996</v>
      </c>
      <c r="U44" s="4">
        <v>3953.11</v>
      </c>
      <c r="V44" s="4" t="s">
        <v>42</v>
      </c>
      <c r="W44" s="4">
        <f>M44/$M$87*100</f>
        <v>1.5285682528333744</v>
      </c>
      <c r="X44" s="7" t="str">
        <v>77</v>
      </c>
    </row>
    <row r="45" spans="1:24" x14ac:dyDescent="0.3">
      <c r="A45" s="4">
        <v>3386</v>
      </c>
      <c r="B45" s="4" t="s">
        <v>31</v>
      </c>
      <c r="C45" s="4" t="s">
        <v>72</v>
      </c>
      <c r="D45" s="4" t="str">
        <f t="shared" si="6"/>
        <v>pandey.ananya33@gmail.com</v>
      </c>
      <c r="E45" s="4" t="s">
        <v>90</v>
      </c>
      <c r="F45" s="4" t="s">
        <v>59</v>
      </c>
      <c r="G45" s="4" t="s">
        <v>20</v>
      </c>
      <c r="H45" s="4" t="s">
        <v>50</v>
      </c>
      <c r="I45" s="6">
        <v>44179</v>
      </c>
      <c r="J45" s="4">
        <v>952.8</v>
      </c>
      <c r="K45" s="4">
        <v>161</v>
      </c>
      <c r="L45" s="4">
        <v>131.91999999999999</v>
      </c>
      <c r="M45" s="4">
        <f t="shared" si="7"/>
        <v>174639.91999999998</v>
      </c>
      <c r="N45" s="4">
        <v>1216.49</v>
      </c>
      <c r="O45" s="4">
        <f t="shared" si="8"/>
        <v>195854.89</v>
      </c>
      <c r="P45" s="4">
        <f t="shared" si="9"/>
        <v>21214.97000000003</v>
      </c>
      <c r="Q45" s="4">
        <f t="shared" si="10"/>
        <v>12.147835386090438</v>
      </c>
      <c r="R45" s="4">
        <v>1.58</v>
      </c>
      <c r="S45" s="4">
        <f t="shared" si="11"/>
        <v>3094.5072620000005</v>
      </c>
      <c r="T45" s="4">
        <v>1496.22</v>
      </c>
      <c r="U45" s="4">
        <v>745.96</v>
      </c>
      <c r="V45" s="4" t="s">
        <v>22</v>
      </c>
      <c r="W45" s="4">
        <f>M45/$M$87*100</f>
        <v>0.65702374673618447</v>
      </c>
      <c r="X45" s="7" t="str">
        <v>33</v>
      </c>
    </row>
    <row r="46" spans="1:24" x14ac:dyDescent="0.3">
      <c r="A46" s="4">
        <v>5713</v>
      </c>
      <c r="B46" s="4" t="s">
        <v>37</v>
      </c>
      <c r="C46" s="4" t="s">
        <v>47</v>
      </c>
      <c r="D46" s="4" t="str">
        <f t="shared" si="6"/>
        <v>mishra.deepak57@gmail.com</v>
      </c>
      <c r="E46" s="4" t="s">
        <v>117</v>
      </c>
      <c r="F46" s="4" t="s">
        <v>25</v>
      </c>
      <c r="G46" s="4" t="s">
        <v>41</v>
      </c>
      <c r="H46" s="4" t="s">
        <v>21</v>
      </c>
      <c r="I46" s="6">
        <v>44735</v>
      </c>
      <c r="J46" s="4">
        <v>4264.51</v>
      </c>
      <c r="K46" s="4">
        <v>155</v>
      </c>
      <c r="L46" s="4">
        <v>51.88</v>
      </c>
      <c r="M46" s="4">
        <f t="shared" si="7"/>
        <v>669040.45000000007</v>
      </c>
      <c r="N46" s="4">
        <v>6685.58</v>
      </c>
      <c r="O46" s="4">
        <f t="shared" si="8"/>
        <v>1036264.9</v>
      </c>
      <c r="P46" s="4">
        <f t="shared" si="9"/>
        <v>367224.44999999995</v>
      </c>
      <c r="Q46" s="4">
        <f t="shared" si="10"/>
        <v>54.888228357493176</v>
      </c>
      <c r="R46" s="4">
        <v>3.61</v>
      </c>
      <c r="S46" s="4">
        <f t="shared" si="11"/>
        <v>37409.16289</v>
      </c>
      <c r="T46" s="4">
        <v>7521.76</v>
      </c>
      <c r="U46" s="4">
        <v>3494.71</v>
      </c>
      <c r="V46" s="4" t="s">
        <v>22</v>
      </c>
      <c r="W46" s="4">
        <f>M46/$M$87*100</f>
        <v>2.5170388487183399</v>
      </c>
      <c r="X46" s="7" t="str">
        <v>57</v>
      </c>
    </row>
    <row r="47" spans="1:24" x14ac:dyDescent="0.3">
      <c r="A47" s="4">
        <v>5838</v>
      </c>
      <c r="B47" s="4" t="s">
        <v>62</v>
      </c>
      <c r="C47" s="4" t="s">
        <v>24</v>
      </c>
      <c r="D47" s="4" t="str">
        <f t="shared" si="6"/>
        <v>reddy.aarav58@gmail.com</v>
      </c>
      <c r="E47" s="4" t="s">
        <v>18</v>
      </c>
      <c r="F47" s="4" t="s">
        <v>19</v>
      </c>
      <c r="G47" s="4" t="s">
        <v>20</v>
      </c>
      <c r="H47" s="4" t="s">
        <v>21</v>
      </c>
      <c r="I47" s="6">
        <v>44990</v>
      </c>
      <c r="J47" s="4">
        <v>3919.79</v>
      </c>
      <c r="K47" s="4">
        <v>195</v>
      </c>
      <c r="L47" s="4">
        <v>146.30000000000001</v>
      </c>
      <c r="M47" s="4">
        <f t="shared" si="7"/>
        <v>792887.55</v>
      </c>
      <c r="N47" s="4">
        <v>5973.86</v>
      </c>
      <c r="O47" s="4">
        <f t="shared" si="8"/>
        <v>1164902.7</v>
      </c>
      <c r="P47" s="4">
        <f t="shared" si="9"/>
        <v>372015.14999999991</v>
      </c>
      <c r="Q47" s="4">
        <f t="shared" si="10"/>
        <v>46.919030321512793</v>
      </c>
      <c r="R47" s="4">
        <v>3.85</v>
      </c>
      <c r="S47" s="4">
        <f t="shared" si="11"/>
        <v>44848.753949999998</v>
      </c>
      <c r="T47" s="4">
        <v>7237.65</v>
      </c>
      <c r="U47" s="4">
        <v>3753.89</v>
      </c>
      <c r="V47" s="4" t="s">
        <v>27</v>
      </c>
      <c r="W47" s="4">
        <f>M47/$M$87*100</f>
        <v>2.9829717560651301</v>
      </c>
      <c r="X47" s="7" t="str">
        <v>58</v>
      </c>
    </row>
    <row r="48" spans="1:24" x14ac:dyDescent="0.3">
      <c r="A48" s="4">
        <v>3241</v>
      </c>
      <c r="B48" s="4" t="s">
        <v>96</v>
      </c>
      <c r="C48" s="4" t="s">
        <v>38</v>
      </c>
      <c r="D48" s="4" t="str">
        <f t="shared" si="6"/>
        <v>patel.harish32@gmail.com</v>
      </c>
      <c r="E48" s="4" t="s">
        <v>61</v>
      </c>
      <c r="F48" s="4" t="s">
        <v>36</v>
      </c>
      <c r="G48" s="4" t="s">
        <v>41</v>
      </c>
      <c r="H48" s="4" t="s">
        <v>21</v>
      </c>
      <c r="I48" s="6">
        <v>44463</v>
      </c>
      <c r="J48" s="4">
        <v>3591.03</v>
      </c>
      <c r="K48" s="4">
        <v>13</v>
      </c>
      <c r="L48" s="4">
        <v>91.14</v>
      </c>
      <c r="M48" s="4">
        <f t="shared" si="7"/>
        <v>47868.21</v>
      </c>
      <c r="N48" s="4">
        <v>4928.71</v>
      </c>
      <c r="O48" s="4">
        <f t="shared" si="8"/>
        <v>64073.23</v>
      </c>
      <c r="P48" s="4">
        <f t="shared" si="9"/>
        <v>16205.020000000004</v>
      </c>
      <c r="Q48" s="4">
        <f t="shared" si="10"/>
        <v>33.853407094186316</v>
      </c>
      <c r="R48" s="4">
        <v>0.91</v>
      </c>
      <c r="S48" s="4">
        <f t="shared" si="11"/>
        <v>583.06639300000006</v>
      </c>
      <c r="T48" s="4">
        <v>5361.82</v>
      </c>
      <c r="U48" s="4">
        <v>3310.64</v>
      </c>
      <c r="V48" s="4" t="s">
        <v>27</v>
      </c>
      <c r="W48" s="4">
        <f>M48/$M$87*100</f>
        <v>0.18008798150935074</v>
      </c>
      <c r="X48" s="7" t="str">
        <v>32</v>
      </c>
    </row>
    <row r="49" spans="1:24" x14ac:dyDescent="0.3">
      <c r="A49" s="4">
        <v>9792</v>
      </c>
      <c r="B49" s="4" t="s">
        <v>23</v>
      </c>
      <c r="C49" s="4" t="s">
        <v>63</v>
      </c>
      <c r="D49" s="4" t="str">
        <f t="shared" si="6"/>
        <v>malhotra.rohan97@gmail.com</v>
      </c>
      <c r="E49" s="4" t="s">
        <v>70</v>
      </c>
      <c r="F49" s="4" t="s">
        <v>36</v>
      </c>
      <c r="G49" s="4" t="s">
        <v>20</v>
      </c>
      <c r="H49" s="4" t="s">
        <v>26</v>
      </c>
      <c r="I49" s="6">
        <v>45028</v>
      </c>
      <c r="J49" s="4">
        <v>1838.41</v>
      </c>
      <c r="K49" s="4">
        <v>168</v>
      </c>
      <c r="L49" s="4">
        <v>141.63999999999999</v>
      </c>
      <c r="M49" s="4">
        <f t="shared" si="7"/>
        <v>332648.40000000002</v>
      </c>
      <c r="N49" s="4">
        <v>1548.11</v>
      </c>
      <c r="O49" s="4">
        <f t="shared" si="8"/>
        <v>260082.47999999998</v>
      </c>
      <c r="P49" s="4">
        <f t="shared" si="9"/>
        <v>-72565.920000000042</v>
      </c>
      <c r="Q49" s="4">
        <f t="shared" si="10"/>
        <v>-21.814600641397956</v>
      </c>
      <c r="R49" s="4">
        <v>1.55</v>
      </c>
      <c r="S49" s="4">
        <f t="shared" si="11"/>
        <v>4031.27844</v>
      </c>
      <c r="T49" s="4">
        <v>1885.76</v>
      </c>
      <c r="U49" s="4">
        <v>1475.93</v>
      </c>
      <c r="V49" s="4" t="s">
        <v>42</v>
      </c>
      <c r="W49" s="4">
        <f>M49/$M$87*100</f>
        <v>1.2514773146586244</v>
      </c>
      <c r="X49" s="7" t="str">
        <v>97</v>
      </c>
    </row>
    <row r="50" spans="1:24" x14ac:dyDescent="0.3">
      <c r="A50" s="4">
        <v>5952</v>
      </c>
      <c r="B50" s="4" t="s">
        <v>96</v>
      </c>
      <c r="C50" s="4" t="s">
        <v>57</v>
      </c>
      <c r="D50" s="4" t="str">
        <f t="shared" si="6"/>
        <v>chopra.harish59@gmail.com</v>
      </c>
      <c r="E50" s="4" t="s">
        <v>87</v>
      </c>
      <c r="F50" s="4" t="s">
        <v>19</v>
      </c>
      <c r="G50" s="4" t="s">
        <v>20</v>
      </c>
      <c r="H50" s="4" t="s">
        <v>50</v>
      </c>
      <c r="I50" s="6">
        <v>43923</v>
      </c>
      <c r="J50" s="4">
        <v>4268.92</v>
      </c>
      <c r="K50" s="4">
        <v>82</v>
      </c>
      <c r="L50" s="4">
        <v>149.43</v>
      </c>
      <c r="M50" s="4">
        <f t="shared" si="7"/>
        <v>362304.7</v>
      </c>
      <c r="N50" s="4">
        <v>3623.04</v>
      </c>
      <c r="O50" s="4">
        <f t="shared" si="8"/>
        <v>297089.27999999997</v>
      </c>
      <c r="P50" s="4">
        <f t="shared" si="9"/>
        <v>-65215.420000000042</v>
      </c>
      <c r="Q50" s="4">
        <f t="shared" si="10"/>
        <v>-18.000158430183223</v>
      </c>
      <c r="R50" s="4">
        <v>1.56</v>
      </c>
      <c r="S50" s="4">
        <f t="shared" si="11"/>
        <v>4634.5927679999995</v>
      </c>
      <c r="T50" s="4">
        <v>4882.09</v>
      </c>
      <c r="U50" s="4">
        <v>3041.14</v>
      </c>
      <c r="V50" s="4" t="s">
        <v>27</v>
      </c>
      <c r="W50" s="4">
        <f>M50/$M$87*100</f>
        <v>1.3630491324900362</v>
      </c>
      <c r="X50" s="7" t="str">
        <v>59</v>
      </c>
    </row>
    <row r="51" spans="1:24" x14ac:dyDescent="0.3">
      <c r="A51" s="4">
        <v>3532</v>
      </c>
      <c r="B51" s="4" t="s">
        <v>34</v>
      </c>
      <c r="C51" s="4" t="s">
        <v>57</v>
      </c>
      <c r="D51" s="4" t="str">
        <f t="shared" si="6"/>
        <v>chopra.tanvi35@gmail.com</v>
      </c>
      <c r="E51" s="4" t="s">
        <v>114</v>
      </c>
      <c r="F51" s="4" t="s">
        <v>40</v>
      </c>
      <c r="G51" s="4" t="s">
        <v>20</v>
      </c>
      <c r="H51" s="4" t="s">
        <v>21</v>
      </c>
      <c r="I51" s="6">
        <v>45538</v>
      </c>
      <c r="J51" s="4">
        <v>2304.19</v>
      </c>
      <c r="K51" s="4">
        <v>109</v>
      </c>
      <c r="L51" s="4">
        <v>141.47</v>
      </c>
      <c r="M51" s="4">
        <f t="shared" si="7"/>
        <v>266576.94</v>
      </c>
      <c r="N51" s="4">
        <v>2276.0300000000002</v>
      </c>
      <c r="O51" s="4">
        <f t="shared" si="8"/>
        <v>248087.27000000002</v>
      </c>
      <c r="P51" s="4">
        <f t="shared" si="9"/>
        <v>-18489.669999999984</v>
      </c>
      <c r="Q51" s="4">
        <f t="shared" si="10"/>
        <v>-6.9359600271501289</v>
      </c>
      <c r="R51" s="4">
        <v>3.61</v>
      </c>
      <c r="S51" s="4">
        <f t="shared" si="11"/>
        <v>8955.9504470000011</v>
      </c>
      <c r="T51" s="4">
        <v>2465.42</v>
      </c>
      <c r="U51" s="4">
        <v>1939.81</v>
      </c>
      <c r="V51" s="4" t="s">
        <v>27</v>
      </c>
      <c r="W51" s="4">
        <f>M51/$M$87*100</f>
        <v>1.0029057497980247</v>
      </c>
      <c r="X51" s="7" t="str">
        <v>35</v>
      </c>
    </row>
    <row r="52" spans="1:24" x14ac:dyDescent="0.3">
      <c r="A52" s="4">
        <v>6877</v>
      </c>
      <c r="B52" s="4" t="s">
        <v>79</v>
      </c>
      <c r="C52" s="4" t="s">
        <v>24</v>
      </c>
      <c r="D52" s="4" t="str">
        <f t="shared" si="6"/>
        <v>reddy.vivaan68@gmail.com</v>
      </c>
      <c r="E52" s="4" t="s">
        <v>18</v>
      </c>
      <c r="F52" s="4" t="s">
        <v>19</v>
      </c>
      <c r="G52" s="4" t="s">
        <v>20</v>
      </c>
      <c r="H52" s="4" t="s">
        <v>50</v>
      </c>
      <c r="I52" s="6">
        <v>44081</v>
      </c>
      <c r="J52" s="4">
        <v>4280.75</v>
      </c>
      <c r="K52" s="4">
        <v>121</v>
      </c>
      <c r="L52" s="4">
        <v>22.83</v>
      </c>
      <c r="M52" s="4">
        <f t="shared" si="7"/>
        <v>520733.18</v>
      </c>
      <c r="N52" s="4">
        <v>3982.34</v>
      </c>
      <c r="O52" s="4">
        <f t="shared" si="8"/>
        <v>481863.14</v>
      </c>
      <c r="P52" s="4">
        <f t="shared" si="9"/>
        <v>-38870.039999999979</v>
      </c>
      <c r="Q52" s="4">
        <f t="shared" si="10"/>
        <v>-7.4644830582910009</v>
      </c>
      <c r="R52" s="4">
        <v>3.38</v>
      </c>
      <c r="S52" s="4">
        <f t="shared" si="11"/>
        <v>16286.974132000001</v>
      </c>
      <c r="T52" s="4">
        <v>5322.48</v>
      </c>
      <c r="U52" s="4">
        <v>3033.08</v>
      </c>
      <c r="V52" s="4" t="s">
        <v>27</v>
      </c>
      <c r="W52" s="4">
        <f>M52/$M$87*100</f>
        <v>1.959082808635322</v>
      </c>
      <c r="X52" s="7" t="str">
        <v>68</v>
      </c>
    </row>
    <row r="53" spans="1:24" x14ac:dyDescent="0.3">
      <c r="A53" s="4">
        <v>4395</v>
      </c>
      <c r="B53" s="4" t="s">
        <v>67</v>
      </c>
      <c r="C53" s="4" t="s">
        <v>44</v>
      </c>
      <c r="D53" s="4" t="str">
        <f t="shared" si="6"/>
        <v>joshi.sanjay43@gmail.com</v>
      </c>
      <c r="E53" s="4" t="s">
        <v>92</v>
      </c>
      <c r="F53" s="4" t="s">
        <v>25</v>
      </c>
      <c r="G53" s="4" t="s">
        <v>41</v>
      </c>
      <c r="H53" s="4" t="s">
        <v>50</v>
      </c>
      <c r="I53" s="6">
        <v>44503</v>
      </c>
      <c r="J53" s="4">
        <v>3529.78</v>
      </c>
      <c r="K53" s="4">
        <v>157</v>
      </c>
      <c r="L53" s="4">
        <v>10.4</v>
      </c>
      <c r="M53" s="4">
        <f t="shared" si="7"/>
        <v>555808.26000000013</v>
      </c>
      <c r="N53" s="4">
        <v>5222.82</v>
      </c>
      <c r="O53" s="4">
        <f t="shared" si="8"/>
        <v>819982.74</v>
      </c>
      <c r="P53" s="4">
        <f t="shared" si="9"/>
        <v>264174.47999999986</v>
      </c>
      <c r="Q53" s="4">
        <f t="shared" si="10"/>
        <v>47.529786621019241</v>
      </c>
      <c r="R53" s="4">
        <v>1.1499999999999999</v>
      </c>
      <c r="S53" s="4">
        <f t="shared" si="11"/>
        <v>9429.8015099999993</v>
      </c>
      <c r="T53" s="4">
        <v>5483.43</v>
      </c>
      <c r="U53" s="4">
        <v>2850.83</v>
      </c>
      <c r="V53" s="4" t="s">
        <v>27</v>
      </c>
      <c r="W53" s="4">
        <f>M53/$M$87*100</f>
        <v>2.0910409570281496</v>
      </c>
      <c r="X53" s="7" t="str">
        <v>43</v>
      </c>
    </row>
    <row r="54" spans="1:24" x14ac:dyDescent="0.3">
      <c r="A54" s="4">
        <v>6305</v>
      </c>
      <c r="B54" s="4" t="s">
        <v>62</v>
      </c>
      <c r="C54" s="4" t="s">
        <v>81</v>
      </c>
      <c r="D54" s="4" t="str">
        <f t="shared" si="6"/>
        <v>mehta.aarav63@gmail.com</v>
      </c>
      <c r="E54" s="4" t="s">
        <v>18</v>
      </c>
      <c r="F54" s="4" t="s">
        <v>19</v>
      </c>
      <c r="G54" s="4" t="s">
        <v>20</v>
      </c>
      <c r="H54" s="4" t="s">
        <v>97</v>
      </c>
      <c r="I54" s="6">
        <v>44090</v>
      </c>
      <c r="J54" s="4">
        <v>3389.39</v>
      </c>
      <c r="K54" s="4">
        <v>139</v>
      </c>
      <c r="L54" s="4">
        <v>25.91</v>
      </c>
      <c r="M54" s="4">
        <f t="shared" si="7"/>
        <v>474726.69999999995</v>
      </c>
      <c r="N54" s="4">
        <v>2725.15</v>
      </c>
      <c r="O54" s="4">
        <f t="shared" si="8"/>
        <v>378795.85000000003</v>
      </c>
      <c r="P54" s="4">
        <f t="shared" si="9"/>
        <v>-95930.849999999919</v>
      </c>
      <c r="Q54" s="4">
        <f t="shared" si="10"/>
        <v>-20.207595233215223</v>
      </c>
      <c r="R54" s="4">
        <v>2.52</v>
      </c>
      <c r="S54" s="4">
        <f t="shared" si="11"/>
        <v>9545.655420000001</v>
      </c>
      <c r="T54" s="4">
        <v>3739.41</v>
      </c>
      <c r="U54" s="4">
        <v>2415.96</v>
      </c>
      <c r="V54" s="4" t="s">
        <v>22</v>
      </c>
      <c r="W54" s="4">
        <f>M54/$M$87*100</f>
        <v>1.7859989577967319</v>
      </c>
      <c r="X54" s="7" t="str">
        <v>63</v>
      </c>
    </row>
    <row r="55" spans="1:24" x14ac:dyDescent="0.3">
      <c r="A55" s="4">
        <v>9544</v>
      </c>
      <c r="B55" s="4" t="s">
        <v>71</v>
      </c>
      <c r="C55" s="4" t="s">
        <v>63</v>
      </c>
      <c r="D55" s="4" t="str">
        <f t="shared" si="6"/>
        <v>malhotra.divya95@gmail.com</v>
      </c>
      <c r="E55" s="4" t="s">
        <v>114</v>
      </c>
      <c r="F55" s="4" t="s">
        <v>40</v>
      </c>
      <c r="G55" s="4" t="s">
        <v>20</v>
      </c>
      <c r="H55" s="4" t="s">
        <v>21</v>
      </c>
      <c r="I55" s="6">
        <v>43955</v>
      </c>
      <c r="J55" s="4">
        <v>4493.92</v>
      </c>
      <c r="K55" s="4">
        <v>107</v>
      </c>
      <c r="L55" s="4">
        <v>69.680000000000007</v>
      </c>
      <c r="M55" s="4">
        <f t="shared" si="7"/>
        <v>488305.2</v>
      </c>
      <c r="N55" s="4">
        <v>3782.84</v>
      </c>
      <c r="O55" s="4">
        <f t="shared" si="8"/>
        <v>404763.88</v>
      </c>
      <c r="P55" s="4">
        <f t="shared" si="9"/>
        <v>-83541.320000000007</v>
      </c>
      <c r="Q55" s="4">
        <f t="shared" si="10"/>
        <v>-17.108423174686653</v>
      </c>
      <c r="R55" s="4">
        <v>3.71</v>
      </c>
      <c r="S55" s="4">
        <f t="shared" si="11"/>
        <v>15016.739948</v>
      </c>
      <c r="T55" s="4">
        <v>5042.2700000000004</v>
      </c>
      <c r="U55" s="4">
        <v>3619.54</v>
      </c>
      <c r="V55" s="4" t="s">
        <v>27</v>
      </c>
      <c r="W55" s="4">
        <f>M55/$M$87*100</f>
        <v>1.8370834804251053</v>
      </c>
      <c r="X55" s="7" t="str">
        <v>95</v>
      </c>
    </row>
    <row r="56" spans="1:24" x14ac:dyDescent="0.3">
      <c r="A56" s="4">
        <v>6328</v>
      </c>
      <c r="B56" s="4" t="s">
        <v>60</v>
      </c>
      <c r="C56" s="4" t="s">
        <v>98</v>
      </c>
      <c r="D56" s="4" t="str">
        <f t="shared" si="6"/>
        <v>shah.amit63@gmail.com</v>
      </c>
      <c r="E56" s="4" t="s">
        <v>99</v>
      </c>
      <c r="F56" s="4" t="s">
        <v>59</v>
      </c>
      <c r="G56" s="4" t="s">
        <v>20</v>
      </c>
      <c r="H56" s="4" t="s">
        <v>26</v>
      </c>
      <c r="I56" s="6">
        <v>44760</v>
      </c>
      <c r="J56" s="4">
        <v>2373.87</v>
      </c>
      <c r="K56" s="4">
        <v>115</v>
      </c>
      <c r="L56" s="4">
        <v>23.88</v>
      </c>
      <c r="M56" s="4">
        <f t="shared" si="7"/>
        <v>275741.25</v>
      </c>
      <c r="N56" s="4">
        <v>3196.45</v>
      </c>
      <c r="O56" s="4">
        <f t="shared" si="8"/>
        <v>367591.75</v>
      </c>
      <c r="P56" s="4">
        <f t="shared" si="9"/>
        <v>91850.5</v>
      </c>
      <c r="Q56" s="4">
        <f t="shared" si="10"/>
        <v>33.310395162131165</v>
      </c>
      <c r="R56" s="4">
        <v>4.34</v>
      </c>
      <c r="S56" s="4">
        <f t="shared" si="11"/>
        <v>15953.481949999998</v>
      </c>
      <c r="T56" s="4">
        <v>3738.92</v>
      </c>
      <c r="U56" s="4">
        <v>2200.25</v>
      </c>
      <c r="V56" s="4" t="s">
        <v>27</v>
      </c>
      <c r="W56" s="4">
        <f>M56/$M$87*100</f>
        <v>1.037383372625909</v>
      </c>
      <c r="X56" s="7" t="str">
        <v>63</v>
      </c>
    </row>
    <row r="57" spans="1:24" x14ac:dyDescent="0.3">
      <c r="A57" s="4">
        <v>2558</v>
      </c>
      <c r="B57" s="4" t="s">
        <v>83</v>
      </c>
      <c r="C57" s="4" t="s">
        <v>57</v>
      </c>
      <c r="D57" s="4" t="str">
        <f t="shared" si="6"/>
        <v>chopra.rahul25@gmail.com</v>
      </c>
      <c r="E57" s="4" t="s">
        <v>100</v>
      </c>
      <c r="F57" s="4" t="s">
        <v>66</v>
      </c>
      <c r="G57" s="4" t="s">
        <v>41</v>
      </c>
      <c r="H57" s="4" t="s">
        <v>26</v>
      </c>
      <c r="I57" s="6">
        <v>44597</v>
      </c>
      <c r="J57" s="4">
        <v>4300.45</v>
      </c>
      <c r="K57" s="4">
        <v>180</v>
      </c>
      <c r="L57" s="4">
        <v>139.22</v>
      </c>
      <c r="M57" s="4">
        <f t="shared" si="7"/>
        <v>799140.6</v>
      </c>
      <c r="N57" s="4">
        <v>3470.74</v>
      </c>
      <c r="O57" s="4">
        <f t="shared" si="8"/>
        <v>624733.19999999995</v>
      </c>
      <c r="P57" s="4">
        <f t="shared" si="9"/>
        <v>-174407.40000000002</v>
      </c>
      <c r="Q57" s="4">
        <f t="shared" si="10"/>
        <v>-21.824369829289118</v>
      </c>
      <c r="R57" s="4">
        <v>4.24</v>
      </c>
      <c r="S57" s="4">
        <f t="shared" si="11"/>
        <v>26488.687680000003</v>
      </c>
      <c r="T57" s="4">
        <v>4478.67</v>
      </c>
      <c r="U57" s="4">
        <v>2680.14</v>
      </c>
      <c r="V57" s="4" t="s">
        <v>27</v>
      </c>
      <c r="W57" s="4">
        <f>M57/$M$87*100</f>
        <v>3.0064967458814831</v>
      </c>
      <c r="X57" s="7" t="str">
        <v>25</v>
      </c>
    </row>
    <row r="58" spans="1:24" x14ac:dyDescent="0.3">
      <c r="A58" s="4">
        <v>3003</v>
      </c>
      <c r="B58" s="4" t="s">
        <v>76</v>
      </c>
      <c r="C58" s="4" t="s">
        <v>29</v>
      </c>
      <c r="D58" s="4" t="str">
        <f t="shared" si="6"/>
        <v>pillai.suresh30@gmail.com</v>
      </c>
      <c r="E58" s="4" t="s">
        <v>113</v>
      </c>
      <c r="F58" s="4" t="s">
        <v>36</v>
      </c>
      <c r="G58" s="4" t="s">
        <v>20</v>
      </c>
      <c r="H58" s="4" t="s">
        <v>55</v>
      </c>
      <c r="I58" s="6">
        <v>45608</v>
      </c>
      <c r="J58" s="4">
        <v>4138.13</v>
      </c>
      <c r="K58" s="4">
        <v>18</v>
      </c>
      <c r="L58" s="4">
        <v>145.58000000000001</v>
      </c>
      <c r="M58" s="4">
        <f t="shared" si="7"/>
        <v>77106.78</v>
      </c>
      <c r="N58" s="4">
        <v>5215.49</v>
      </c>
      <c r="O58" s="4">
        <f t="shared" si="8"/>
        <v>93878.819999999992</v>
      </c>
      <c r="P58" s="4">
        <f t="shared" si="9"/>
        <v>16772.039999999994</v>
      </c>
      <c r="Q58" s="4">
        <f t="shared" si="10"/>
        <v>21.751705881117061</v>
      </c>
      <c r="R58" s="4">
        <v>2.08</v>
      </c>
      <c r="S58" s="4">
        <f t="shared" si="11"/>
        <v>1952.6794559999998</v>
      </c>
      <c r="T58" s="4">
        <v>6013.05</v>
      </c>
      <c r="U58" s="4">
        <v>3306.08</v>
      </c>
      <c r="V58" s="4" t="s">
        <v>22</v>
      </c>
      <c r="W58" s="4">
        <f>M58/$M$87*100</f>
        <v>0.29008823122664451</v>
      </c>
      <c r="X58" s="7" t="str">
        <v>30</v>
      </c>
    </row>
    <row r="59" spans="1:24" x14ac:dyDescent="0.3">
      <c r="A59" s="4">
        <v>4706</v>
      </c>
      <c r="B59" s="4" t="s">
        <v>82</v>
      </c>
      <c r="C59" s="4" t="s">
        <v>57</v>
      </c>
      <c r="D59" s="4" t="str">
        <f t="shared" si="6"/>
        <v>chopra.riya47@gmail.com</v>
      </c>
      <c r="E59" s="4" t="s">
        <v>113</v>
      </c>
      <c r="F59" s="4" t="s">
        <v>36</v>
      </c>
      <c r="G59" s="4" t="s">
        <v>20</v>
      </c>
      <c r="H59" s="4" t="s">
        <v>21</v>
      </c>
      <c r="I59" s="6">
        <v>45078</v>
      </c>
      <c r="J59" s="4">
        <v>4195.0600000000004</v>
      </c>
      <c r="K59" s="4">
        <v>182</v>
      </c>
      <c r="L59" s="4">
        <v>47.44</v>
      </c>
      <c r="M59" s="4">
        <f t="shared" si="7"/>
        <v>772135</v>
      </c>
      <c r="N59" s="4">
        <v>3789.62</v>
      </c>
      <c r="O59" s="4">
        <f t="shared" si="8"/>
        <v>689710.84</v>
      </c>
      <c r="P59" s="4">
        <f t="shared" si="9"/>
        <v>-82424.160000000033</v>
      </c>
      <c r="Q59" s="4">
        <f t="shared" si="10"/>
        <v>-10.674837949322338</v>
      </c>
      <c r="R59" s="4">
        <v>3.66</v>
      </c>
      <c r="S59" s="4">
        <f t="shared" si="11"/>
        <v>25243.416743999998</v>
      </c>
      <c r="T59" s="4">
        <v>4577.09</v>
      </c>
      <c r="U59" s="4">
        <v>3138.41</v>
      </c>
      <c r="V59" s="4" t="s">
        <v>27</v>
      </c>
      <c r="W59" s="4">
        <f>M59/$M$87*100</f>
        <v>2.9048972920174485</v>
      </c>
      <c r="X59" s="7" t="str">
        <v>47</v>
      </c>
    </row>
    <row r="60" spans="1:24" x14ac:dyDescent="0.3">
      <c r="A60" s="4">
        <v>1503</v>
      </c>
      <c r="B60" s="4" t="s">
        <v>101</v>
      </c>
      <c r="C60" s="4" t="s">
        <v>72</v>
      </c>
      <c r="D60" s="4" t="str">
        <f t="shared" si="6"/>
        <v>pandey.aditya15@gmail.com</v>
      </c>
      <c r="E60" s="4" t="s">
        <v>30</v>
      </c>
      <c r="F60" s="4" t="s">
        <v>19</v>
      </c>
      <c r="G60" s="4" t="s">
        <v>20</v>
      </c>
      <c r="H60" s="4" t="s">
        <v>97</v>
      </c>
      <c r="I60" s="6">
        <v>44690</v>
      </c>
      <c r="J60" s="4">
        <v>2150.6799999999998</v>
      </c>
      <c r="K60" s="4">
        <v>45</v>
      </c>
      <c r="L60" s="4">
        <v>61.81</v>
      </c>
      <c r="M60" s="4">
        <f t="shared" si="7"/>
        <v>99562.049999999988</v>
      </c>
      <c r="N60" s="4">
        <v>2932.14</v>
      </c>
      <c r="O60" s="4">
        <f t="shared" si="8"/>
        <v>131946.29999999999</v>
      </c>
      <c r="P60" s="4">
        <f t="shared" si="9"/>
        <v>32384.25</v>
      </c>
      <c r="Q60" s="4">
        <f t="shared" si="10"/>
        <v>32.52670068565282</v>
      </c>
      <c r="R60" s="4">
        <v>4</v>
      </c>
      <c r="S60" s="4">
        <f t="shared" si="11"/>
        <v>5277.8519999999999</v>
      </c>
      <c r="T60" s="4">
        <v>3373.56</v>
      </c>
      <c r="U60" s="4">
        <v>1655.03</v>
      </c>
      <c r="V60" s="4" t="s">
        <v>27</v>
      </c>
      <c r="W60" s="4">
        <f>M60/$M$87*100</f>
        <v>0.37456860449624196</v>
      </c>
      <c r="X60" s="7" t="str">
        <v>15</v>
      </c>
    </row>
    <row r="61" spans="1:24" x14ac:dyDescent="0.3">
      <c r="A61" s="4">
        <v>1308</v>
      </c>
      <c r="B61" s="4" t="s">
        <v>16</v>
      </c>
      <c r="C61" s="4" t="s">
        <v>102</v>
      </c>
      <c r="D61" s="4" t="str">
        <f t="shared" si="6"/>
        <v>singh.kiran13@gmail.com</v>
      </c>
      <c r="E61" s="4" t="s">
        <v>113</v>
      </c>
      <c r="F61" s="4" t="s">
        <v>36</v>
      </c>
      <c r="G61" s="4" t="s">
        <v>20</v>
      </c>
      <c r="H61" s="4" t="s">
        <v>26</v>
      </c>
      <c r="I61" s="6">
        <v>45010</v>
      </c>
      <c r="J61" s="4">
        <v>2045.92</v>
      </c>
      <c r="K61" s="4">
        <v>108</v>
      </c>
      <c r="L61" s="4">
        <v>109.33</v>
      </c>
      <c r="M61" s="4">
        <f t="shared" si="7"/>
        <v>232767</v>
      </c>
      <c r="N61" s="4">
        <v>2260.8200000000002</v>
      </c>
      <c r="O61" s="4">
        <f t="shared" si="8"/>
        <v>244168.56000000003</v>
      </c>
      <c r="P61" s="4">
        <f t="shared" si="9"/>
        <v>11401.560000000027</v>
      </c>
      <c r="Q61" s="4">
        <f t="shared" si="10"/>
        <v>4.8982716622201714</v>
      </c>
      <c r="R61" s="4">
        <v>1.02</v>
      </c>
      <c r="S61" s="4">
        <f t="shared" si="11"/>
        <v>2490.5193120000004</v>
      </c>
      <c r="T61" s="4">
        <v>2316.88</v>
      </c>
      <c r="U61" s="4">
        <v>1687.26</v>
      </c>
      <c r="V61" s="4" t="s">
        <v>42</v>
      </c>
      <c r="W61" s="4">
        <f>M61/$M$87*100</f>
        <v>0.87570726358865403</v>
      </c>
      <c r="X61" s="7" t="str">
        <v>13</v>
      </c>
    </row>
    <row r="62" spans="1:24" x14ac:dyDescent="0.3">
      <c r="A62" s="4">
        <v>8139</v>
      </c>
      <c r="B62" s="4" t="s">
        <v>67</v>
      </c>
      <c r="C62" s="4" t="s">
        <v>24</v>
      </c>
      <c r="D62" s="4" t="str">
        <f t="shared" si="6"/>
        <v>reddy.sanjay81@gmail.com</v>
      </c>
      <c r="E62" s="4" t="s">
        <v>99</v>
      </c>
      <c r="F62" s="4" t="s">
        <v>59</v>
      </c>
      <c r="G62" s="4" t="s">
        <v>20</v>
      </c>
      <c r="H62" s="4" t="s">
        <v>21</v>
      </c>
      <c r="I62" s="6">
        <v>44641</v>
      </c>
      <c r="J62" s="4">
        <v>3943.25</v>
      </c>
      <c r="K62" s="4">
        <v>195</v>
      </c>
      <c r="L62" s="4">
        <v>57.53</v>
      </c>
      <c r="M62" s="4">
        <f t="shared" si="7"/>
        <v>780152.1</v>
      </c>
      <c r="N62" s="4">
        <v>4073.8</v>
      </c>
      <c r="O62" s="4">
        <f t="shared" si="8"/>
        <v>794391</v>
      </c>
      <c r="P62" s="4">
        <f t="shared" si="9"/>
        <v>14238.900000000023</v>
      </c>
      <c r="Q62" s="4">
        <f t="shared" si="10"/>
        <v>1.8251440969011075</v>
      </c>
      <c r="R62" s="4">
        <v>1.26</v>
      </c>
      <c r="S62" s="4">
        <f t="shared" si="11"/>
        <v>10009.3266</v>
      </c>
      <c r="T62" s="4">
        <v>4633.59</v>
      </c>
      <c r="U62" s="4">
        <v>3060.85</v>
      </c>
      <c r="V62" s="4" t="s">
        <v>42</v>
      </c>
      <c r="W62" s="4">
        <f>M62/$M$87*100</f>
        <v>2.9350589244778771</v>
      </c>
      <c r="X62" s="7" t="str">
        <v>81</v>
      </c>
    </row>
    <row r="63" spans="1:24" x14ac:dyDescent="0.3">
      <c r="A63" s="4">
        <v>3420</v>
      </c>
      <c r="B63" s="4" t="s">
        <v>31</v>
      </c>
      <c r="C63" s="4" t="s">
        <v>38</v>
      </c>
      <c r="D63" s="4" t="str">
        <f t="shared" si="6"/>
        <v>patel.ananya34@gmail.com</v>
      </c>
      <c r="E63" s="4" t="s">
        <v>45</v>
      </c>
      <c r="F63" s="4" t="s">
        <v>19</v>
      </c>
      <c r="G63" s="4" t="s">
        <v>20</v>
      </c>
      <c r="H63" s="4" t="s">
        <v>26</v>
      </c>
      <c r="I63" s="6">
        <v>44235</v>
      </c>
      <c r="J63" s="4">
        <v>946.05</v>
      </c>
      <c r="K63" s="4">
        <v>44</v>
      </c>
      <c r="L63" s="4">
        <v>116.43</v>
      </c>
      <c r="M63" s="4">
        <f t="shared" si="7"/>
        <v>46749.119999999995</v>
      </c>
      <c r="N63" s="4">
        <v>1236.6600000000001</v>
      </c>
      <c r="O63" s="4">
        <f t="shared" si="8"/>
        <v>54413.04</v>
      </c>
      <c r="P63" s="4">
        <f t="shared" si="9"/>
        <v>7663.9200000000055</v>
      </c>
      <c r="Q63" s="4">
        <f t="shared" si="10"/>
        <v>16.393720352383117</v>
      </c>
      <c r="R63" s="4">
        <v>1.3</v>
      </c>
      <c r="S63" s="4">
        <f t="shared" si="11"/>
        <v>707.36952000000008</v>
      </c>
      <c r="T63" s="4">
        <v>1481.22</v>
      </c>
      <c r="U63" s="4">
        <v>817.05</v>
      </c>
      <c r="V63" s="4" t="s">
        <v>42</v>
      </c>
      <c r="W63" s="4">
        <f>M63/$M$87*100</f>
        <v>0.17587778314957711</v>
      </c>
      <c r="X63" s="7" t="str">
        <v>34</v>
      </c>
    </row>
    <row r="64" spans="1:24" x14ac:dyDescent="0.3">
      <c r="A64" s="4">
        <v>2480</v>
      </c>
      <c r="B64" s="4" t="s">
        <v>43</v>
      </c>
      <c r="C64" s="4" t="s">
        <v>98</v>
      </c>
      <c r="D64" s="4" t="str">
        <f t="shared" si="6"/>
        <v>shah.raj24@gmail.com</v>
      </c>
      <c r="E64" s="4" t="s">
        <v>99</v>
      </c>
      <c r="F64" s="4" t="s">
        <v>59</v>
      </c>
      <c r="G64" s="4" t="s">
        <v>20</v>
      </c>
      <c r="H64" s="4" t="s">
        <v>55</v>
      </c>
      <c r="I64" s="6">
        <v>44778</v>
      </c>
      <c r="J64" s="4">
        <v>2695.42</v>
      </c>
      <c r="K64" s="4">
        <v>194</v>
      </c>
      <c r="L64" s="4">
        <v>135.41999999999999</v>
      </c>
      <c r="M64" s="4">
        <f t="shared" si="7"/>
        <v>549182.96000000008</v>
      </c>
      <c r="N64" s="4">
        <v>3051.95</v>
      </c>
      <c r="O64" s="4">
        <f t="shared" si="8"/>
        <v>592078.29999999993</v>
      </c>
      <c r="P64" s="4">
        <f t="shared" si="9"/>
        <v>42895.339999999851</v>
      </c>
      <c r="Q64" s="4">
        <f t="shared" si="10"/>
        <v>7.8107558180610424</v>
      </c>
      <c r="R64" s="4">
        <v>4.1399999999999997</v>
      </c>
      <c r="S64" s="4">
        <f t="shared" si="11"/>
        <v>24512.041619999996</v>
      </c>
      <c r="T64" s="4">
        <v>3570.55</v>
      </c>
      <c r="U64" s="4">
        <v>2220.89</v>
      </c>
      <c r="V64" s="4" t="s">
        <v>22</v>
      </c>
      <c r="W64" s="4">
        <f>M64/$M$87*100</f>
        <v>2.0661155022452382</v>
      </c>
      <c r="X64" s="7" t="str">
        <v>24</v>
      </c>
    </row>
    <row r="65" spans="1:24" x14ac:dyDescent="0.3">
      <c r="A65" s="4">
        <v>7334</v>
      </c>
      <c r="B65" s="4" t="s">
        <v>71</v>
      </c>
      <c r="C65" s="4" t="s">
        <v>80</v>
      </c>
      <c r="D65" s="4" t="str">
        <f t="shared" si="6"/>
        <v>nair.divya73@gmail.com</v>
      </c>
      <c r="E65" s="4" t="s">
        <v>103</v>
      </c>
      <c r="F65" s="4" t="s">
        <v>49</v>
      </c>
      <c r="G65" s="4" t="s">
        <v>20</v>
      </c>
      <c r="H65" s="4" t="s">
        <v>50</v>
      </c>
      <c r="I65" s="6">
        <v>44513</v>
      </c>
      <c r="J65" s="4">
        <v>550.46</v>
      </c>
      <c r="K65" s="4">
        <v>174</v>
      </c>
      <c r="L65" s="4">
        <v>29.8</v>
      </c>
      <c r="M65" s="4">
        <f t="shared" si="7"/>
        <v>100965.24</v>
      </c>
      <c r="N65" s="4">
        <v>576.52</v>
      </c>
      <c r="O65" s="4">
        <f t="shared" si="8"/>
        <v>100314.48</v>
      </c>
      <c r="P65" s="4">
        <f t="shared" si="9"/>
        <v>-650.76000000000931</v>
      </c>
      <c r="Q65" s="4">
        <f t="shared" si="10"/>
        <v>-0.64453865508566044</v>
      </c>
      <c r="R65" s="4">
        <v>4.8499999999999996</v>
      </c>
      <c r="S65" s="4">
        <f t="shared" si="11"/>
        <v>4865.2522799999997</v>
      </c>
      <c r="T65" s="4">
        <v>680.67</v>
      </c>
      <c r="U65" s="4">
        <v>462.47</v>
      </c>
      <c r="V65" s="4" t="s">
        <v>42</v>
      </c>
      <c r="W65" s="4">
        <f>M65/$M$87*100</f>
        <v>0.37984763320389797</v>
      </c>
      <c r="X65" s="7" t="str">
        <v>73</v>
      </c>
    </row>
    <row r="66" spans="1:24" x14ac:dyDescent="0.3">
      <c r="A66" s="4">
        <v>3094</v>
      </c>
      <c r="B66" s="4" t="s">
        <v>37</v>
      </c>
      <c r="C66" s="4" t="s">
        <v>72</v>
      </c>
      <c r="D66" s="4" t="str">
        <f t="shared" ref="D66:D86" si="12">LOWER(_xlfn.CONCAT(C66,".",B66,X66,"@gmail.com"))</f>
        <v>pandey.deepak30@gmail.com</v>
      </c>
      <c r="E66" s="4" t="s">
        <v>116</v>
      </c>
      <c r="F66" s="4" t="s">
        <v>25</v>
      </c>
      <c r="G66" s="4" t="s">
        <v>20</v>
      </c>
      <c r="H66" s="4" t="s">
        <v>55</v>
      </c>
      <c r="I66" s="6">
        <v>44872</v>
      </c>
      <c r="J66" s="4">
        <v>1755.86</v>
      </c>
      <c r="K66" s="4">
        <v>97</v>
      </c>
      <c r="L66" s="4">
        <v>53.24</v>
      </c>
      <c r="M66" s="4">
        <f t="shared" ref="M66:M85" si="13">J66*K66+(L66*K66)</f>
        <v>175482.69999999998</v>
      </c>
      <c r="N66" s="4">
        <v>2736.5</v>
      </c>
      <c r="O66" s="4">
        <f t="shared" ref="O66:O86" si="14">N66*K66</f>
        <v>265440.5</v>
      </c>
      <c r="P66" s="4">
        <f t="shared" ref="P66:P85" si="15">O66-M66</f>
        <v>89957.800000000017</v>
      </c>
      <c r="Q66" s="4">
        <f t="shared" ref="Q66:Q85" si="16">P66/M66*100</f>
        <v>51.263058979603137</v>
      </c>
      <c r="R66" s="4">
        <v>2.04</v>
      </c>
      <c r="S66" s="4">
        <f t="shared" ref="S66:S86" si="17">O66*R66/100</f>
        <v>5414.9862000000003</v>
      </c>
      <c r="T66" s="4">
        <v>3273.44</v>
      </c>
      <c r="U66" s="4">
        <v>1394.44</v>
      </c>
      <c r="V66" s="4" t="s">
        <v>27</v>
      </c>
      <c r="W66" s="4">
        <f>M66/$M$87*100</f>
        <v>0.66019442199344713</v>
      </c>
      <c r="X66" s="7" t="str">
        <v>30</v>
      </c>
    </row>
    <row r="67" spans="1:24" x14ac:dyDescent="0.3">
      <c r="A67" s="4">
        <v>9627</v>
      </c>
      <c r="B67" s="4" t="s">
        <v>79</v>
      </c>
      <c r="C67" s="4" t="s">
        <v>89</v>
      </c>
      <c r="D67" s="4" t="str">
        <f t="shared" si="12"/>
        <v>iyer.vivaan96@gmail.com</v>
      </c>
      <c r="E67" s="4" t="s">
        <v>61</v>
      </c>
      <c r="F67" s="4" t="s">
        <v>36</v>
      </c>
      <c r="G67" s="4" t="s">
        <v>41</v>
      </c>
      <c r="H67" s="4" t="s">
        <v>50</v>
      </c>
      <c r="I67" s="6">
        <v>45054</v>
      </c>
      <c r="J67" s="4">
        <v>1819.9</v>
      </c>
      <c r="K67" s="4">
        <v>46</v>
      </c>
      <c r="L67" s="4">
        <v>35.32</v>
      </c>
      <c r="M67" s="4">
        <f t="shared" si="13"/>
        <v>85340.12000000001</v>
      </c>
      <c r="N67" s="4">
        <v>2436.6999999999998</v>
      </c>
      <c r="O67" s="4">
        <f t="shared" si="14"/>
        <v>112088.2</v>
      </c>
      <c r="P67" s="4">
        <f t="shared" si="15"/>
        <v>26748.079999999987</v>
      </c>
      <c r="Q67" s="4">
        <f t="shared" si="16"/>
        <v>31.342913508909977</v>
      </c>
      <c r="R67" s="4">
        <v>3.31</v>
      </c>
      <c r="S67" s="4">
        <f t="shared" si="17"/>
        <v>3710.11942</v>
      </c>
      <c r="T67" s="4">
        <v>2991.32</v>
      </c>
      <c r="U67" s="4">
        <v>1666.8</v>
      </c>
      <c r="V67" s="4" t="s">
        <v>27</v>
      </c>
      <c r="W67" s="4">
        <f>M67/$M$87*100</f>
        <v>0.32106339369209286</v>
      </c>
      <c r="X67" s="7" t="str">
        <v>96</v>
      </c>
    </row>
    <row r="68" spans="1:24" x14ac:dyDescent="0.3">
      <c r="A68" s="4">
        <v>8356</v>
      </c>
      <c r="B68" s="4" t="s">
        <v>31</v>
      </c>
      <c r="C68" s="4" t="s">
        <v>47</v>
      </c>
      <c r="D68" s="4" t="str">
        <f t="shared" si="12"/>
        <v>mishra.ananya83@gmail.com</v>
      </c>
      <c r="E68" s="4" t="s">
        <v>112</v>
      </c>
      <c r="F68" s="4" t="s">
        <v>19</v>
      </c>
      <c r="G68" s="4" t="s">
        <v>41</v>
      </c>
      <c r="H68" s="4" t="s">
        <v>26</v>
      </c>
      <c r="I68" s="6">
        <v>45487</v>
      </c>
      <c r="J68" s="4">
        <v>3572.79</v>
      </c>
      <c r="K68" s="4">
        <v>54</v>
      </c>
      <c r="L68" s="4">
        <v>61.5</v>
      </c>
      <c r="M68" s="4">
        <f t="shared" si="13"/>
        <v>196251.66</v>
      </c>
      <c r="N68" s="4">
        <v>5555.91</v>
      </c>
      <c r="O68" s="4">
        <f t="shared" si="14"/>
        <v>300019.14</v>
      </c>
      <c r="P68" s="4">
        <f t="shared" si="15"/>
        <v>103767.48000000001</v>
      </c>
      <c r="Q68" s="4">
        <f t="shared" si="16"/>
        <v>52.87470179870072</v>
      </c>
      <c r="R68" s="4">
        <v>4.93</v>
      </c>
      <c r="S68" s="4">
        <f t="shared" si="17"/>
        <v>14790.943601999999</v>
      </c>
      <c r="T68" s="4">
        <v>6256.99</v>
      </c>
      <c r="U68" s="4">
        <v>2911.14</v>
      </c>
      <c r="V68" s="4" t="s">
        <v>22</v>
      </c>
      <c r="W68" s="4">
        <f>M68/$M$87*100</f>
        <v>0.73833062312669295</v>
      </c>
      <c r="X68" s="7" t="str">
        <v>83</v>
      </c>
    </row>
    <row r="69" spans="1:24" x14ac:dyDescent="0.3">
      <c r="A69" s="4">
        <v>5097</v>
      </c>
      <c r="B69" s="4" t="s">
        <v>79</v>
      </c>
      <c r="C69" s="4" t="s">
        <v>77</v>
      </c>
      <c r="D69" s="4" t="str">
        <f t="shared" si="12"/>
        <v>saxena.vivaan50@gmail.com</v>
      </c>
      <c r="E69" s="4" t="s">
        <v>113</v>
      </c>
      <c r="F69" s="4" t="s">
        <v>36</v>
      </c>
      <c r="G69" s="4" t="s">
        <v>20</v>
      </c>
      <c r="H69" s="4" t="s">
        <v>26</v>
      </c>
      <c r="I69" s="6">
        <v>44966</v>
      </c>
      <c r="J69" s="4">
        <v>4217.46</v>
      </c>
      <c r="K69" s="4">
        <v>187</v>
      </c>
      <c r="L69" s="4">
        <v>128.41999999999999</v>
      </c>
      <c r="M69" s="4">
        <f t="shared" si="13"/>
        <v>812679.56</v>
      </c>
      <c r="N69" s="4">
        <v>6214.39</v>
      </c>
      <c r="O69" s="4">
        <f t="shared" si="14"/>
        <v>1162090.9300000002</v>
      </c>
      <c r="P69" s="4">
        <f t="shared" si="15"/>
        <v>349411.37000000011</v>
      </c>
      <c r="Q69" s="4">
        <f t="shared" si="16"/>
        <v>42.994974550608859</v>
      </c>
      <c r="R69" s="4">
        <v>1.78</v>
      </c>
      <c r="S69" s="4">
        <f t="shared" si="17"/>
        <v>20685.218554000003</v>
      </c>
      <c r="T69" s="4">
        <v>7429.41</v>
      </c>
      <c r="U69" s="4">
        <v>3427.71</v>
      </c>
      <c r="V69" s="4" t="s">
        <v>42</v>
      </c>
      <c r="W69" s="4">
        <f>M69/$M$87*100</f>
        <v>3.0574325126071629</v>
      </c>
      <c r="X69" s="7" t="str">
        <v>50</v>
      </c>
    </row>
    <row r="70" spans="1:24" x14ac:dyDescent="0.3">
      <c r="A70" s="4">
        <v>6728</v>
      </c>
      <c r="B70" s="4" t="s">
        <v>68</v>
      </c>
      <c r="C70" s="4" t="s">
        <v>84</v>
      </c>
      <c r="D70" s="4" t="str">
        <f t="shared" si="12"/>
        <v>sharma.simran67@gmail.com</v>
      </c>
      <c r="E70" s="4" t="s">
        <v>90</v>
      </c>
      <c r="F70" s="4" t="s">
        <v>59</v>
      </c>
      <c r="G70" s="4" t="s">
        <v>20</v>
      </c>
      <c r="H70" s="4" t="s">
        <v>21</v>
      </c>
      <c r="I70" s="6">
        <v>44642</v>
      </c>
      <c r="J70" s="4">
        <v>2358.63</v>
      </c>
      <c r="K70" s="4">
        <v>65</v>
      </c>
      <c r="L70" s="4">
        <v>64.06</v>
      </c>
      <c r="M70" s="4">
        <f t="shared" si="13"/>
        <v>157474.85</v>
      </c>
      <c r="N70" s="4">
        <v>1932.58</v>
      </c>
      <c r="O70" s="4">
        <f t="shared" si="14"/>
        <v>125617.7</v>
      </c>
      <c r="P70" s="4">
        <f t="shared" si="15"/>
        <v>-31857.150000000009</v>
      </c>
      <c r="Q70" s="4">
        <f t="shared" si="16"/>
        <v>-20.229992281307148</v>
      </c>
      <c r="R70" s="4">
        <v>1.51</v>
      </c>
      <c r="S70" s="4">
        <f t="shared" si="17"/>
        <v>1896.8272699999998</v>
      </c>
      <c r="T70" s="4">
        <v>2578.6799999999998</v>
      </c>
      <c r="U70" s="4">
        <v>1493.48</v>
      </c>
      <c r="V70" s="4" t="s">
        <v>27</v>
      </c>
      <c r="W70" s="4">
        <f>M70/$M$87*100</f>
        <v>0.59244596518206516</v>
      </c>
      <c r="X70" s="7" t="str">
        <v>67</v>
      </c>
    </row>
    <row r="71" spans="1:24" x14ac:dyDescent="0.3">
      <c r="A71" s="4">
        <v>3274</v>
      </c>
      <c r="B71" s="4" t="s">
        <v>46</v>
      </c>
      <c r="C71" s="4" t="s">
        <v>77</v>
      </c>
      <c r="D71" s="4" t="str">
        <f t="shared" si="12"/>
        <v>saxena.gaurav32@gmail.com</v>
      </c>
      <c r="E71" s="4" t="s">
        <v>88</v>
      </c>
      <c r="F71" s="4" t="s">
        <v>59</v>
      </c>
      <c r="G71" s="4" t="s">
        <v>41</v>
      </c>
      <c r="H71" s="4" t="s">
        <v>21</v>
      </c>
      <c r="I71" s="6">
        <v>43993</v>
      </c>
      <c r="J71" s="4">
        <v>281.72000000000003</v>
      </c>
      <c r="K71" s="4">
        <v>60</v>
      </c>
      <c r="L71" s="4">
        <v>126.89</v>
      </c>
      <c r="M71" s="4">
        <f t="shared" si="13"/>
        <v>24516.6</v>
      </c>
      <c r="N71" s="4">
        <v>342.71</v>
      </c>
      <c r="O71" s="4">
        <f t="shared" si="14"/>
        <v>20562.599999999999</v>
      </c>
      <c r="P71" s="4">
        <f t="shared" si="15"/>
        <v>-3954</v>
      </c>
      <c r="Q71" s="4">
        <f t="shared" si="16"/>
        <v>-16.127848070287072</v>
      </c>
      <c r="R71" s="4">
        <v>3.77</v>
      </c>
      <c r="S71" s="4">
        <f t="shared" si="17"/>
        <v>775.21001999999999</v>
      </c>
      <c r="T71" s="4">
        <v>391.16</v>
      </c>
      <c r="U71" s="4">
        <v>218.49</v>
      </c>
      <c r="V71" s="4" t="s">
        <v>27</v>
      </c>
      <c r="W71" s="4">
        <f>M71/$M$87*100</f>
        <v>9.2235431562453424E-2</v>
      </c>
      <c r="X71" s="7" t="str">
        <v>32</v>
      </c>
    </row>
    <row r="72" spans="1:24" x14ac:dyDescent="0.3">
      <c r="A72" s="4">
        <v>2030</v>
      </c>
      <c r="B72" s="4" t="s">
        <v>23</v>
      </c>
      <c r="C72" s="4" t="s">
        <v>77</v>
      </c>
      <c r="D72" s="4" t="str">
        <f t="shared" si="12"/>
        <v>saxena.rohan20@gmail.com</v>
      </c>
      <c r="E72" s="4" t="s">
        <v>64</v>
      </c>
      <c r="F72" s="4" t="s">
        <v>40</v>
      </c>
      <c r="G72" s="4" t="s">
        <v>41</v>
      </c>
      <c r="H72" s="4" t="s">
        <v>21</v>
      </c>
      <c r="I72" s="6">
        <v>45125</v>
      </c>
      <c r="J72" s="4">
        <v>2416.12</v>
      </c>
      <c r="K72" s="4">
        <v>66</v>
      </c>
      <c r="L72" s="4">
        <v>110.6</v>
      </c>
      <c r="M72" s="4">
        <f t="shared" si="13"/>
        <v>166763.51999999999</v>
      </c>
      <c r="N72" s="4">
        <v>2410.2800000000002</v>
      </c>
      <c r="O72" s="4">
        <f t="shared" si="14"/>
        <v>159078.48000000001</v>
      </c>
      <c r="P72" s="4">
        <f t="shared" si="15"/>
        <v>-7685.039999999979</v>
      </c>
      <c r="Q72" s="4">
        <f t="shared" si="16"/>
        <v>-4.608345997973645</v>
      </c>
      <c r="R72" s="4">
        <v>0.51</v>
      </c>
      <c r="S72" s="4">
        <f t="shared" si="17"/>
        <v>811.30024800000012</v>
      </c>
      <c r="T72" s="4">
        <v>2660.5</v>
      </c>
      <c r="U72" s="4">
        <v>2124.0700000000002</v>
      </c>
      <c r="V72" s="4" t="s">
        <v>27</v>
      </c>
      <c r="W72" s="4">
        <f>M72/$M$87*100</f>
        <v>0.62739145053040934</v>
      </c>
      <c r="X72" s="7" t="str">
        <v>20</v>
      </c>
    </row>
    <row r="73" spans="1:24" x14ac:dyDescent="0.3">
      <c r="A73" s="4">
        <v>9313</v>
      </c>
      <c r="B73" s="4" t="s">
        <v>82</v>
      </c>
      <c r="C73" s="4" t="s">
        <v>72</v>
      </c>
      <c r="D73" s="4" t="str">
        <f t="shared" si="12"/>
        <v>pandey.riya93@gmail.com</v>
      </c>
      <c r="E73" s="4" t="s">
        <v>74</v>
      </c>
      <c r="F73" s="4" t="s">
        <v>54</v>
      </c>
      <c r="G73" s="4" t="s">
        <v>41</v>
      </c>
      <c r="H73" s="4" t="s">
        <v>21</v>
      </c>
      <c r="I73" s="6">
        <v>44630</v>
      </c>
      <c r="J73" s="4">
        <v>3955.33</v>
      </c>
      <c r="K73" s="4">
        <v>16</v>
      </c>
      <c r="L73" s="4">
        <v>98.99</v>
      </c>
      <c r="M73" s="4">
        <f t="shared" si="13"/>
        <v>64869.119999999995</v>
      </c>
      <c r="N73" s="4">
        <v>6264.78</v>
      </c>
      <c r="O73" s="4">
        <f t="shared" si="14"/>
        <v>100236.48</v>
      </c>
      <c r="P73" s="4">
        <f t="shared" si="15"/>
        <v>35367.360000000001</v>
      </c>
      <c r="Q73" s="4">
        <f t="shared" si="16"/>
        <v>54.521103415615947</v>
      </c>
      <c r="R73" s="4">
        <v>1.64</v>
      </c>
      <c r="S73" s="4">
        <f t="shared" si="17"/>
        <v>1643.8782719999997</v>
      </c>
      <c r="T73" s="4">
        <v>6413.48</v>
      </c>
      <c r="U73" s="4">
        <v>3683.83</v>
      </c>
      <c r="V73" s="4" t="s">
        <v>27</v>
      </c>
      <c r="W73" s="4">
        <f>M73/$M$87*100</f>
        <v>0.24404816647808336</v>
      </c>
      <c r="X73" s="7" t="str">
        <v>93</v>
      </c>
    </row>
    <row r="74" spans="1:24" x14ac:dyDescent="0.3">
      <c r="A74" s="4">
        <v>6081</v>
      </c>
      <c r="B74" s="4" t="s">
        <v>104</v>
      </c>
      <c r="C74" s="4" t="s">
        <v>24</v>
      </c>
      <c r="D74" s="4" t="str">
        <f t="shared" si="12"/>
        <v>reddy.sneha60@gmail.com</v>
      </c>
      <c r="E74" s="4" t="s">
        <v>92</v>
      </c>
      <c r="F74" s="4" t="s">
        <v>25</v>
      </c>
      <c r="G74" s="4" t="s">
        <v>41</v>
      </c>
      <c r="H74" s="4" t="s">
        <v>55</v>
      </c>
      <c r="I74" s="6">
        <v>44349</v>
      </c>
      <c r="J74" s="4">
        <v>357.47</v>
      </c>
      <c r="K74" s="4">
        <v>170</v>
      </c>
      <c r="L74" s="4">
        <v>36.75</v>
      </c>
      <c r="M74" s="4">
        <f t="shared" si="13"/>
        <v>67017.399999999994</v>
      </c>
      <c r="N74" s="4">
        <v>376.57</v>
      </c>
      <c r="O74" s="4">
        <f t="shared" si="14"/>
        <v>64016.9</v>
      </c>
      <c r="P74" s="4">
        <f t="shared" si="15"/>
        <v>-3000.4999999999927</v>
      </c>
      <c r="Q74" s="4">
        <f t="shared" si="16"/>
        <v>-4.4771954746080764</v>
      </c>
      <c r="R74" s="4">
        <v>4.01</v>
      </c>
      <c r="S74" s="4">
        <f t="shared" si="17"/>
        <v>2567.0776900000001</v>
      </c>
      <c r="T74" s="4">
        <v>459.09</v>
      </c>
      <c r="U74" s="4">
        <v>295.39</v>
      </c>
      <c r="V74" s="4" t="s">
        <v>27</v>
      </c>
      <c r="W74" s="4">
        <f>M74/$M$87*100</f>
        <v>0.25213034479469282</v>
      </c>
      <c r="X74" s="7" t="str">
        <v>60</v>
      </c>
    </row>
    <row r="75" spans="1:24" x14ac:dyDescent="0.3">
      <c r="A75" s="4">
        <v>6555</v>
      </c>
      <c r="B75" s="4" t="s">
        <v>56</v>
      </c>
      <c r="C75" s="4" t="s">
        <v>77</v>
      </c>
      <c r="D75" s="4" t="str">
        <f t="shared" si="12"/>
        <v>saxena.neha65@gmail.com</v>
      </c>
      <c r="E75" s="4" t="s">
        <v>93</v>
      </c>
      <c r="F75" s="4" t="s">
        <v>49</v>
      </c>
      <c r="G75" s="4" t="s">
        <v>20</v>
      </c>
      <c r="H75" s="4" t="s">
        <v>55</v>
      </c>
      <c r="I75" s="6">
        <v>44583</v>
      </c>
      <c r="J75" s="4">
        <v>4174.54</v>
      </c>
      <c r="K75" s="4">
        <v>137</v>
      </c>
      <c r="L75" s="4">
        <v>47.34</v>
      </c>
      <c r="M75" s="4">
        <f t="shared" si="13"/>
        <v>578397.55999999994</v>
      </c>
      <c r="N75" s="4">
        <v>3424.04</v>
      </c>
      <c r="O75" s="4">
        <f t="shared" si="14"/>
        <v>469093.48</v>
      </c>
      <c r="P75" s="4">
        <f t="shared" si="15"/>
        <v>-109304.07999999996</v>
      </c>
      <c r="Q75" s="4">
        <f t="shared" si="16"/>
        <v>-18.897742238055081</v>
      </c>
      <c r="R75" s="4">
        <v>2.41</v>
      </c>
      <c r="S75" s="4">
        <f t="shared" si="17"/>
        <v>11305.152868000001</v>
      </c>
      <c r="T75" s="4">
        <v>4671.4799999999996</v>
      </c>
      <c r="U75" s="4">
        <v>3351.7</v>
      </c>
      <c r="V75" s="4" t="s">
        <v>27</v>
      </c>
      <c r="W75" s="4">
        <f>M75/$M$87*100</f>
        <v>2.1760255729289564</v>
      </c>
      <c r="X75" s="7" t="str">
        <v>65</v>
      </c>
    </row>
    <row r="76" spans="1:24" x14ac:dyDescent="0.3">
      <c r="A76" s="4">
        <v>7982</v>
      </c>
      <c r="B76" s="4" t="s">
        <v>56</v>
      </c>
      <c r="C76" s="4" t="s">
        <v>63</v>
      </c>
      <c r="D76" s="4" t="str">
        <f t="shared" si="12"/>
        <v>malhotra.neha79@gmail.com</v>
      </c>
      <c r="E76" s="4" t="s">
        <v>70</v>
      </c>
      <c r="F76" s="4" t="s">
        <v>36</v>
      </c>
      <c r="G76" s="4" t="s">
        <v>20</v>
      </c>
      <c r="H76" s="4" t="s">
        <v>55</v>
      </c>
      <c r="I76" s="6">
        <v>43917</v>
      </c>
      <c r="J76" s="4">
        <v>3325.3</v>
      </c>
      <c r="K76" s="4">
        <v>95</v>
      </c>
      <c r="L76" s="4">
        <v>96.08</v>
      </c>
      <c r="M76" s="4">
        <f t="shared" si="13"/>
        <v>325031.09999999998</v>
      </c>
      <c r="N76" s="4">
        <v>3723.34</v>
      </c>
      <c r="O76" s="4">
        <f t="shared" si="14"/>
        <v>353717.3</v>
      </c>
      <c r="P76" s="4">
        <f t="shared" si="15"/>
        <v>28686.200000000012</v>
      </c>
      <c r="Q76" s="4">
        <f t="shared" si="16"/>
        <v>8.8256785273778462</v>
      </c>
      <c r="R76" s="4">
        <v>3.38</v>
      </c>
      <c r="S76" s="4">
        <f t="shared" si="17"/>
        <v>11955.64474</v>
      </c>
      <c r="T76" s="4">
        <v>4475.6000000000004</v>
      </c>
      <c r="U76" s="4">
        <v>2537.84</v>
      </c>
      <c r="V76" s="4" t="s">
        <v>22</v>
      </c>
      <c r="W76" s="4">
        <f>M76/$M$87*100</f>
        <v>1.2228197947398478</v>
      </c>
      <c r="X76" s="7" t="str">
        <v>79</v>
      </c>
    </row>
    <row r="77" spans="1:24" x14ac:dyDescent="0.3">
      <c r="A77" s="4">
        <v>8180</v>
      </c>
      <c r="B77" s="4" t="s">
        <v>79</v>
      </c>
      <c r="C77" s="4" t="s">
        <v>95</v>
      </c>
      <c r="D77" s="4" t="str">
        <f t="shared" si="12"/>
        <v>gupta.vivaan81@gmail.com</v>
      </c>
      <c r="E77" s="4" t="s">
        <v>116</v>
      </c>
      <c r="F77" s="4" t="s">
        <v>25</v>
      </c>
      <c r="G77" s="4" t="s">
        <v>20</v>
      </c>
      <c r="H77" s="4" t="s">
        <v>50</v>
      </c>
      <c r="I77" s="6">
        <v>45425</v>
      </c>
      <c r="J77" s="4">
        <v>2974.2</v>
      </c>
      <c r="K77" s="4">
        <v>97</v>
      </c>
      <c r="L77" s="4">
        <v>63.6</v>
      </c>
      <c r="M77" s="4">
        <f t="shared" si="13"/>
        <v>294666.59999999998</v>
      </c>
      <c r="N77" s="4">
        <v>3664.68</v>
      </c>
      <c r="O77" s="4">
        <f t="shared" si="14"/>
        <v>355473.95999999996</v>
      </c>
      <c r="P77" s="4">
        <f t="shared" si="15"/>
        <v>60807.359999999986</v>
      </c>
      <c r="Q77" s="4">
        <f t="shared" si="16"/>
        <v>20.635986569227725</v>
      </c>
      <c r="R77" s="4">
        <v>3.22</v>
      </c>
      <c r="S77" s="4">
        <f t="shared" si="17"/>
        <v>11446.261511999999</v>
      </c>
      <c r="T77" s="4">
        <v>4310.34</v>
      </c>
      <c r="U77" s="4">
        <v>2879.71</v>
      </c>
      <c r="V77" s="4" t="s">
        <v>27</v>
      </c>
      <c r="W77" s="4">
        <f>M77/$M$87*100</f>
        <v>1.1085836134717226</v>
      </c>
      <c r="X77" s="7" t="str">
        <v>81</v>
      </c>
    </row>
    <row r="78" spans="1:24" x14ac:dyDescent="0.3">
      <c r="A78" s="4">
        <v>5567</v>
      </c>
      <c r="B78" s="4" t="s">
        <v>31</v>
      </c>
      <c r="C78" s="4" t="s">
        <v>38</v>
      </c>
      <c r="D78" s="4" t="str">
        <f t="shared" si="12"/>
        <v>patel.ananya55@gmail.com</v>
      </c>
      <c r="E78" s="4" t="s">
        <v>78</v>
      </c>
      <c r="F78" s="4" t="s">
        <v>40</v>
      </c>
      <c r="G78" s="4" t="s">
        <v>20</v>
      </c>
      <c r="H78" s="4" t="s">
        <v>50</v>
      </c>
      <c r="I78" s="6">
        <v>44853</v>
      </c>
      <c r="J78" s="4">
        <v>2426.3000000000002</v>
      </c>
      <c r="K78" s="4">
        <v>148</v>
      </c>
      <c r="L78" s="4">
        <v>26.49</v>
      </c>
      <c r="M78" s="4">
        <f t="shared" si="13"/>
        <v>363012.92000000004</v>
      </c>
      <c r="N78" s="4">
        <v>3417.98</v>
      </c>
      <c r="O78" s="4">
        <f t="shared" si="14"/>
        <v>505861.04</v>
      </c>
      <c r="P78" s="4">
        <f t="shared" si="15"/>
        <v>142848.11999999994</v>
      </c>
      <c r="Q78" s="4">
        <f t="shared" si="16"/>
        <v>39.350698592215373</v>
      </c>
      <c r="R78" s="4">
        <v>3.67</v>
      </c>
      <c r="S78" s="4">
        <f t="shared" si="17"/>
        <v>18565.100167999997</v>
      </c>
      <c r="T78" s="4">
        <v>3655.02</v>
      </c>
      <c r="U78" s="4">
        <v>2161.1799999999998</v>
      </c>
      <c r="V78" s="4" t="s">
        <v>22</v>
      </c>
      <c r="W78" s="4">
        <f>M78/$M$87*100</f>
        <v>1.3657135711699984</v>
      </c>
      <c r="X78" s="7" t="str">
        <v>55</v>
      </c>
    </row>
    <row r="79" spans="1:24" x14ac:dyDescent="0.3">
      <c r="A79" s="4">
        <v>2439</v>
      </c>
      <c r="B79" s="4" t="s">
        <v>82</v>
      </c>
      <c r="C79" s="4" t="s">
        <v>89</v>
      </c>
      <c r="D79" s="4" t="str">
        <f t="shared" si="12"/>
        <v>iyer.riya24@gmail.com</v>
      </c>
      <c r="E79" s="4" t="s">
        <v>39</v>
      </c>
      <c r="F79" s="4" t="s">
        <v>40</v>
      </c>
      <c r="G79" s="4" t="s">
        <v>41</v>
      </c>
      <c r="H79" s="4" t="s">
        <v>26</v>
      </c>
      <c r="I79" s="6">
        <v>45284</v>
      </c>
      <c r="J79" s="4">
        <v>479.24</v>
      </c>
      <c r="K79" s="4">
        <v>143</v>
      </c>
      <c r="L79" s="4">
        <v>50.65</v>
      </c>
      <c r="M79" s="4">
        <f t="shared" si="13"/>
        <v>75774.27</v>
      </c>
      <c r="N79" s="4">
        <v>481.62</v>
      </c>
      <c r="O79" s="4">
        <f t="shared" si="14"/>
        <v>68871.66</v>
      </c>
      <c r="P79" s="4">
        <f t="shared" si="15"/>
        <v>-6902.6100000000006</v>
      </c>
      <c r="Q79" s="4">
        <f t="shared" si="16"/>
        <v>-9.1094378078469127</v>
      </c>
      <c r="R79" s="4">
        <v>1.21</v>
      </c>
      <c r="S79" s="4">
        <f t="shared" si="17"/>
        <v>833.34708599999999</v>
      </c>
      <c r="T79" s="4">
        <v>569.85</v>
      </c>
      <c r="U79" s="4">
        <v>436.61</v>
      </c>
      <c r="V79" s="4" t="s">
        <v>27</v>
      </c>
      <c r="W79" s="4">
        <f>M79/$M$87*100</f>
        <v>0.28507511215991893</v>
      </c>
      <c r="X79" s="7" t="str">
        <v>24</v>
      </c>
    </row>
    <row r="80" spans="1:24" x14ac:dyDescent="0.3">
      <c r="A80" s="4">
        <v>9095</v>
      </c>
      <c r="B80" s="4" t="s">
        <v>62</v>
      </c>
      <c r="C80" s="4" t="s">
        <v>29</v>
      </c>
      <c r="D80" s="4" t="str">
        <f t="shared" si="12"/>
        <v>pillai.aarav90@gmail.com</v>
      </c>
      <c r="E80" s="4" t="s">
        <v>74</v>
      </c>
      <c r="F80" s="4" t="s">
        <v>54</v>
      </c>
      <c r="G80" s="4" t="s">
        <v>41</v>
      </c>
      <c r="H80" s="4" t="s">
        <v>26</v>
      </c>
      <c r="I80" s="6">
        <v>44788</v>
      </c>
      <c r="J80" s="4">
        <v>3655.75</v>
      </c>
      <c r="K80" s="4">
        <v>146</v>
      </c>
      <c r="L80" s="4">
        <v>28.17</v>
      </c>
      <c r="M80" s="4">
        <f t="shared" si="13"/>
        <v>537852.31999999995</v>
      </c>
      <c r="N80" s="4">
        <v>5489.51</v>
      </c>
      <c r="O80" s="4">
        <f t="shared" si="14"/>
        <v>801468.46000000008</v>
      </c>
      <c r="P80" s="4">
        <f t="shared" si="15"/>
        <v>263616.14000000013</v>
      </c>
      <c r="Q80" s="4">
        <f t="shared" si="16"/>
        <v>49.012736432930168</v>
      </c>
      <c r="R80" s="4">
        <v>0.8</v>
      </c>
      <c r="S80" s="4">
        <f t="shared" si="17"/>
        <v>6411.7476800000013</v>
      </c>
      <c r="T80" s="4">
        <v>6102.01</v>
      </c>
      <c r="U80" s="4">
        <v>3344.63</v>
      </c>
      <c r="V80" s="4" t="s">
        <v>22</v>
      </c>
      <c r="W80" s="4">
        <f>M80/$M$87*100</f>
        <v>2.0234877940687861</v>
      </c>
      <c r="X80" s="7" t="str">
        <v>90</v>
      </c>
    </row>
    <row r="81" spans="1:24" x14ac:dyDescent="0.3">
      <c r="A81" s="4">
        <v>2216</v>
      </c>
      <c r="B81" s="4" t="s">
        <v>16</v>
      </c>
      <c r="C81" s="4" t="s">
        <v>63</v>
      </c>
      <c r="D81" s="4" t="str">
        <f t="shared" si="12"/>
        <v>malhotra.kiran22@gmail.com</v>
      </c>
      <c r="E81" s="4" t="s">
        <v>39</v>
      </c>
      <c r="F81" s="4" t="s">
        <v>40</v>
      </c>
      <c r="G81" s="4" t="s">
        <v>41</v>
      </c>
      <c r="H81" s="4" t="s">
        <v>26</v>
      </c>
      <c r="I81" s="6">
        <v>44093</v>
      </c>
      <c r="J81" s="4">
        <v>3975.23</v>
      </c>
      <c r="K81" s="4">
        <v>146</v>
      </c>
      <c r="L81" s="4">
        <v>99.57</v>
      </c>
      <c r="M81" s="4">
        <f t="shared" si="13"/>
        <v>594920.79999999993</v>
      </c>
      <c r="N81" s="4">
        <v>3596.27</v>
      </c>
      <c r="O81" s="4">
        <f t="shared" si="14"/>
        <v>525055.42000000004</v>
      </c>
      <c r="P81" s="4">
        <f t="shared" si="15"/>
        <v>-69865.379999999888</v>
      </c>
      <c r="Q81" s="4">
        <f t="shared" si="16"/>
        <v>-11.743643859821324</v>
      </c>
      <c r="R81" s="4">
        <v>4.8499999999999996</v>
      </c>
      <c r="S81" s="4">
        <f t="shared" si="17"/>
        <v>25465.187870000002</v>
      </c>
      <c r="T81" s="4">
        <v>4450.28</v>
      </c>
      <c r="U81" s="4">
        <v>3450.49</v>
      </c>
      <c r="V81" s="4" t="s">
        <v>27</v>
      </c>
      <c r="W81" s="4">
        <f>M81/$M$87*100</f>
        <v>2.238188685767196</v>
      </c>
      <c r="X81" s="7" t="str">
        <v>22</v>
      </c>
    </row>
    <row r="82" spans="1:24" x14ac:dyDescent="0.3">
      <c r="A82" s="4">
        <v>4695</v>
      </c>
      <c r="B82" s="4" t="s">
        <v>28</v>
      </c>
      <c r="C82" s="4" t="s">
        <v>72</v>
      </c>
      <c r="D82" s="4" t="str">
        <f t="shared" si="12"/>
        <v>pandey.vikram46@gmail.com</v>
      </c>
      <c r="E82" s="4" t="s">
        <v>61</v>
      </c>
      <c r="F82" s="4" t="s">
        <v>36</v>
      </c>
      <c r="G82" s="4" t="s">
        <v>41</v>
      </c>
      <c r="H82" s="4" t="s">
        <v>26</v>
      </c>
      <c r="I82" s="6">
        <v>45563</v>
      </c>
      <c r="J82" s="4">
        <v>539.1</v>
      </c>
      <c r="K82" s="4">
        <v>55</v>
      </c>
      <c r="L82" s="4">
        <v>98.91</v>
      </c>
      <c r="M82" s="4">
        <f t="shared" si="13"/>
        <v>35090.550000000003</v>
      </c>
      <c r="N82" s="4">
        <v>656.74</v>
      </c>
      <c r="O82" s="4">
        <f t="shared" si="14"/>
        <v>36120.699999999997</v>
      </c>
      <c r="P82" s="4">
        <f t="shared" si="15"/>
        <v>1030.1499999999942</v>
      </c>
      <c r="Q82" s="4">
        <f t="shared" si="16"/>
        <v>2.9356906631557331</v>
      </c>
      <c r="R82" s="4">
        <v>1.06</v>
      </c>
      <c r="S82" s="4">
        <f t="shared" si="17"/>
        <v>382.87941999999998</v>
      </c>
      <c r="T82" s="4">
        <v>715.62</v>
      </c>
      <c r="U82" s="4">
        <v>470.47</v>
      </c>
      <c r="V82" s="4" t="s">
        <v>42</v>
      </c>
      <c r="W82" s="4">
        <f>M82/$M$87*100</f>
        <v>0.1320163490457017</v>
      </c>
      <c r="X82" s="7" t="str">
        <v>46</v>
      </c>
    </row>
    <row r="83" spans="1:24" x14ac:dyDescent="0.3">
      <c r="A83" s="4">
        <v>6532</v>
      </c>
      <c r="B83" s="4" t="s">
        <v>75</v>
      </c>
      <c r="C83" s="4" t="s">
        <v>17</v>
      </c>
      <c r="D83" s="4" t="str">
        <f t="shared" si="12"/>
        <v>tiwari.shruti65@gmail.com</v>
      </c>
      <c r="E83" s="4" t="s">
        <v>118</v>
      </c>
      <c r="F83" s="4" t="s">
        <v>25</v>
      </c>
      <c r="G83" s="4" t="s">
        <v>20</v>
      </c>
      <c r="H83" s="4" t="s">
        <v>21</v>
      </c>
      <c r="I83" s="6">
        <v>43997</v>
      </c>
      <c r="J83" s="4">
        <v>395.49</v>
      </c>
      <c r="K83" s="4">
        <v>169</v>
      </c>
      <c r="L83" s="4">
        <v>117.94</v>
      </c>
      <c r="M83" s="4">
        <f t="shared" si="13"/>
        <v>86769.67</v>
      </c>
      <c r="N83" s="4">
        <v>385.59</v>
      </c>
      <c r="O83" s="4">
        <f t="shared" si="14"/>
        <v>65164.71</v>
      </c>
      <c r="P83" s="4">
        <f t="shared" si="15"/>
        <v>-21604.959999999999</v>
      </c>
      <c r="Q83" s="4">
        <f t="shared" si="16"/>
        <v>-24.899207292133298</v>
      </c>
      <c r="R83" s="4">
        <v>1.45</v>
      </c>
      <c r="S83" s="4">
        <f t="shared" si="17"/>
        <v>944.88829499999997</v>
      </c>
      <c r="T83" s="4">
        <v>455.44</v>
      </c>
      <c r="U83" s="4">
        <v>344.01</v>
      </c>
      <c r="V83" s="4" t="s">
        <v>27</v>
      </c>
      <c r="W83" s="4">
        <f>M83/$M$87*100</f>
        <v>0.32644159300154457</v>
      </c>
      <c r="X83" s="7" t="str">
        <v>65</v>
      </c>
    </row>
    <row r="84" spans="1:24" x14ac:dyDescent="0.3">
      <c r="A84" s="4">
        <v>7654</v>
      </c>
      <c r="B84" s="4" t="s">
        <v>71</v>
      </c>
      <c r="C84" s="4" t="s">
        <v>63</v>
      </c>
      <c r="D84" s="4" t="str">
        <f t="shared" si="12"/>
        <v>malhotra.divya76@gmail.com</v>
      </c>
      <c r="E84" s="4" t="s">
        <v>116</v>
      </c>
      <c r="F84" s="4" t="s">
        <v>25</v>
      </c>
      <c r="G84" s="4" t="s">
        <v>20</v>
      </c>
      <c r="H84" s="4" t="s">
        <v>21</v>
      </c>
      <c r="I84" s="6">
        <v>44154</v>
      </c>
      <c r="J84" s="4">
        <v>2090.3000000000002</v>
      </c>
      <c r="K84" s="4">
        <v>128</v>
      </c>
      <c r="L84" s="4">
        <v>75.02</v>
      </c>
      <c r="M84" s="4">
        <f t="shared" si="13"/>
        <v>277160.96000000002</v>
      </c>
      <c r="N84" s="4">
        <v>2172.16</v>
      </c>
      <c r="O84" s="4">
        <f t="shared" si="14"/>
        <v>278036.47999999998</v>
      </c>
      <c r="P84" s="4">
        <f t="shared" si="15"/>
        <v>875.51999999996042</v>
      </c>
      <c r="Q84" s="4">
        <f t="shared" si="16"/>
        <v>0.31588864463449695</v>
      </c>
      <c r="R84" s="4">
        <v>1.1499999999999999</v>
      </c>
      <c r="S84" s="4">
        <f t="shared" si="17"/>
        <v>3197.4195199999995</v>
      </c>
      <c r="T84" s="4">
        <v>2646</v>
      </c>
      <c r="U84" s="4">
        <v>1721.24</v>
      </c>
      <c r="V84" s="4" t="s">
        <v>27</v>
      </c>
      <c r="W84" s="4">
        <f>M84/$M$87*100</f>
        <v>1.042724552256997</v>
      </c>
      <c r="X84" s="7" t="str">
        <v>76</v>
      </c>
    </row>
    <row r="85" spans="1:24" x14ac:dyDescent="0.3">
      <c r="A85" s="4">
        <v>8643</v>
      </c>
      <c r="B85" s="4" t="s">
        <v>23</v>
      </c>
      <c r="C85" s="4" t="s">
        <v>80</v>
      </c>
      <c r="D85" s="4" t="str">
        <f t="shared" si="12"/>
        <v>nair.rohan86@gmail.com</v>
      </c>
      <c r="E85" s="4" t="s">
        <v>88</v>
      </c>
      <c r="F85" s="4" t="s">
        <v>59</v>
      </c>
      <c r="G85" s="4" t="s">
        <v>41</v>
      </c>
      <c r="H85" s="4" t="s">
        <v>50</v>
      </c>
      <c r="I85" s="6">
        <v>44119</v>
      </c>
      <c r="J85" s="4">
        <v>616.29</v>
      </c>
      <c r="K85" s="4">
        <v>79</v>
      </c>
      <c r="L85" s="4">
        <v>142.35</v>
      </c>
      <c r="M85" s="4">
        <f t="shared" si="13"/>
        <v>59932.56</v>
      </c>
      <c r="N85" s="4">
        <v>914.91</v>
      </c>
      <c r="O85" s="4">
        <f t="shared" si="14"/>
        <v>72277.89</v>
      </c>
      <c r="P85" s="4">
        <f t="shared" si="15"/>
        <v>12345.330000000002</v>
      </c>
      <c r="Q85" s="4">
        <f t="shared" si="16"/>
        <v>20.598702942106932</v>
      </c>
      <c r="R85" s="4">
        <v>2.38</v>
      </c>
      <c r="S85" s="4">
        <f t="shared" si="17"/>
        <v>1720.2137819999998</v>
      </c>
      <c r="T85" s="4">
        <v>1135.79</v>
      </c>
      <c r="U85" s="4">
        <v>590.12</v>
      </c>
      <c r="V85" s="4" t="s">
        <v>27</v>
      </c>
      <c r="W85" s="4">
        <f>M85/$M$87*100</f>
        <v>0.22547602588624169</v>
      </c>
      <c r="X85" s="7" t="str">
        <v>86</v>
      </c>
    </row>
    <row r="86" spans="1:24" x14ac:dyDescent="0.3">
      <c r="A86" s="4">
        <v>8649</v>
      </c>
      <c r="B86" s="4" t="s">
        <v>73</v>
      </c>
      <c r="C86" s="4" t="s">
        <v>91</v>
      </c>
      <c r="D86" s="4" t="str">
        <f t="shared" si="12"/>
        <v>kumar.meera86@gmail.com</v>
      </c>
      <c r="E86" s="4" t="s">
        <v>58</v>
      </c>
      <c r="F86" s="4" t="s">
        <v>59</v>
      </c>
      <c r="G86" s="4" t="s">
        <v>20</v>
      </c>
      <c r="H86" s="4" t="s">
        <v>21</v>
      </c>
      <c r="I86" s="6">
        <v>44015</v>
      </c>
      <c r="J86" s="4">
        <v>4264.5</v>
      </c>
      <c r="K86" s="4">
        <v>134</v>
      </c>
      <c r="L86" s="4">
        <v>74.010000000000005</v>
      </c>
      <c r="M86" s="4">
        <f>J86*K86+(L86*K86)</f>
        <v>581360.34</v>
      </c>
      <c r="N86" s="4">
        <v>4070.97</v>
      </c>
      <c r="O86" s="4">
        <f t="shared" si="14"/>
        <v>545509.98</v>
      </c>
      <c r="P86" s="4">
        <f>O86-M86</f>
        <v>-35850.359999999986</v>
      </c>
      <c r="Q86" s="4">
        <f>P86/M86*100</f>
        <v>-6.1666332450541752</v>
      </c>
      <c r="R86" s="4">
        <v>3.13</v>
      </c>
      <c r="S86" s="4">
        <f t="shared" si="17"/>
        <v>17074.462373999999</v>
      </c>
      <c r="T86" s="4">
        <v>4397.5200000000004</v>
      </c>
      <c r="U86" s="4">
        <v>3316.67</v>
      </c>
      <c r="V86" s="4" t="s">
        <v>42</v>
      </c>
      <c r="W86" s="4">
        <f>M86/$M$87*100</f>
        <v>2.1871720325491566</v>
      </c>
      <c r="X86" s="7" t="str">
        <v>86</v>
      </c>
    </row>
    <row r="87" spans="1:24" x14ac:dyDescent="0.3">
      <c r="A87" s="5"/>
      <c r="B87" s="5"/>
      <c r="C87" s="5"/>
      <c r="D87" s="5"/>
      <c r="E87" s="5"/>
      <c r="F87" s="5"/>
      <c r="G87" s="5"/>
      <c r="H87" s="5"/>
      <c r="I87" s="5"/>
      <c r="J87" s="5"/>
      <c r="K87" s="5"/>
      <c r="L87" s="5"/>
      <c r="M87" s="5">
        <f>SUM(M2:M86)</f>
        <v>26580457.840000015</v>
      </c>
      <c r="N87" s="5"/>
      <c r="O87" s="5">
        <f>SUM(O2:O86)</f>
        <v>29706549.489999998</v>
      </c>
      <c r="P87" s="5"/>
      <c r="Q87" s="5"/>
      <c r="R87" s="5"/>
      <c r="S87" s="5"/>
      <c r="T87" s="5"/>
      <c r="U87" s="5"/>
      <c r="V87" s="5"/>
      <c r="W87" s="5"/>
      <c r="X87" s="8"/>
    </row>
  </sheetData>
  <autoFilter ref="A1:X87" xr:uid="{652BB74F-850B-4DB3-94B0-13340DDE3F9F}"/>
  <conditionalFormatting sqref="K2:K86">
    <cfRule type="colorScale" priority="1">
      <colorScale>
        <cfvo type="min"/>
        <cfvo type="percentile" val="50"/>
        <cfvo type="max"/>
        <color rgb="FFFF0000"/>
        <color rgb="FFFFEB84"/>
        <color rgb="FF00B050"/>
      </colorScale>
    </cfRule>
  </conditionalFormatting>
  <conditionalFormatting sqref="O2:O87">
    <cfRule type="top10" dxfId="6" priority="7" rank="10"/>
  </conditionalFormatting>
  <conditionalFormatting sqref="P2:P86">
    <cfRule type="dataBar" priority="8">
      <dataBar>
        <cfvo type="min"/>
        <cfvo type="max"/>
        <color rgb="FF63C384"/>
      </dataBar>
      <extLst>
        <ext xmlns:x14="http://schemas.microsoft.com/office/spreadsheetml/2009/9/main" uri="{B025F937-C7B1-47D3-B67F-A62EFF666E3E}">
          <x14:id>{14FD5BF0-C96D-43CD-9928-BE542C8F252E}</x14:id>
        </ext>
      </extLst>
    </cfRule>
  </conditionalFormatting>
  <conditionalFormatting sqref="Q2:Q86">
    <cfRule type="dataBar" priority="2">
      <dataBar>
        <cfvo type="min"/>
        <cfvo type="max"/>
        <color rgb="FF63C384"/>
      </dataBar>
      <extLst>
        <ext xmlns:x14="http://schemas.microsoft.com/office/spreadsheetml/2009/9/main" uri="{B025F937-C7B1-47D3-B67F-A62EFF666E3E}">
          <x14:id>{F7BF1148-44D6-4E92-8000-EDC57D16ED88}</x14:id>
        </ext>
      </extLst>
    </cfRule>
  </conditionalFormatting>
  <conditionalFormatting sqref="T2:T86">
    <cfRule type="cellIs" dxfId="5" priority="10" operator="greaterThan">
      <formula>4000</formula>
    </cfRule>
  </conditionalFormatting>
  <conditionalFormatting sqref="U2:U86">
    <cfRule type="cellIs" dxfId="4" priority="9" operator="lessThan">
      <formula>2000</formula>
    </cfRule>
  </conditionalFormatting>
  <conditionalFormatting sqref="V2:V86">
    <cfRule type="colorScale" priority="12">
      <colorScale>
        <cfvo type="min"/>
        <cfvo type="percentile" val="50"/>
        <cfvo type="max"/>
        <color rgb="FF63BE7B"/>
        <color rgb="FFFFEB84"/>
        <color rgb="FFF8696B"/>
      </colorScale>
    </cfRule>
  </conditionalFormatting>
  <conditionalFormatting sqref="M2:M87">
    <cfRule type="top10" dxfId="2" priority="13"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4FD5BF0-C96D-43CD-9928-BE542C8F252E}">
            <x14:dataBar minLength="0" maxLength="100" gradient="0">
              <x14:cfvo type="autoMin"/>
              <x14:cfvo type="autoMax"/>
              <x14:negativeFillColor rgb="FFFF0000"/>
              <x14:axisColor rgb="FF000000"/>
            </x14:dataBar>
          </x14:cfRule>
          <xm:sqref>P2:P86</xm:sqref>
        </x14:conditionalFormatting>
        <x14:conditionalFormatting xmlns:xm="http://schemas.microsoft.com/office/excel/2006/main">
          <x14:cfRule type="dataBar" id="{F7BF1148-44D6-4E92-8000-EDC57D16ED88}">
            <x14:dataBar minLength="0" maxLength="100" gradient="0">
              <x14:cfvo type="autoMin"/>
              <x14:cfvo type="autoMax"/>
              <x14:negativeFillColor rgb="FFFF0000"/>
              <x14:axisColor rgb="FF000000"/>
            </x14:dataBar>
          </x14:cfRule>
          <xm:sqref>Q2:Q86</xm:sqref>
        </x14:conditionalFormatting>
        <x14:conditionalFormatting xmlns:xm="http://schemas.microsoft.com/office/excel/2006/main">
          <x14:cfRule type="containsText" priority="11" operator="containsText" id="{85BBC519-DF0C-4B9A-80EA-06784BF2328F}">
            <xm:f>NOT(ISERROR(SEARCH($V$21,V2)))</xm:f>
            <xm:f>$V$21</xm:f>
            <x14:dxf>
              <font>
                <b/>
                <i/>
              </font>
              <fill>
                <patternFill>
                  <bgColor theme="4" tint="0.59996337778862885"/>
                </patternFill>
              </fill>
              <border>
                <left style="thin">
                  <color auto="1"/>
                </left>
                <right style="thin">
                  <color auto="1"/>
                </right>
                <top style="thin">
                  <color auto="1"/>
                </top>
                <bottom style="thin">
                  <color auto="1"/>
                </bottom>
                <vertical/>
                <horizontal/>
              </border>
            </x14:dxf>
          </x14:cfRule>
          <xm:sqref>V2:V86</xm:sqref>
        </x14:conditionalFormatting>
        <x14:conditionalFormatting xmlns:xm="http://schemas.microsoft.com/office/excel/2006/main">
          <x14:cfRule type="containsText" priority="5" operator="containsText" id="{09485DD7-C33A-4DAD-9B5B-2109E44E0EC3}">
            <xm:f>NOT(ISERROR(SEARCH($M$87,M87)))</xm:f>
            <xm:f>$M$87</xm:f>
            <x14:dxf>
              <font>
                <b/>
                <i/>
              </font>
              <fill>
                <patternFill>
                  <bgColor theme="7" tint="0.39994506668294322"/>
                </patternFill>
              </fill>
            </x14:dxf>
          </x14:cfRule>
          <xm:sqref>M87</xm:sqref>
        </x14:conditionalFormatting>
        <x14:conditionalFormatting xmlns:xm="http://schemas.microsoft.com/office/excel/2006/main">
          <x14:cfRule type="containsText" priority="4" operator="containsText" id="{51EDE98B-32FC-418B-85AD-1C8FD904B0EE}">
            <xm:f>NOT(ISERROR(SEARCH($O$87,O87)))</xm:f>
            <xm:f>$O$87</xm:f>
            <x14:dxf>
              <font>
                <b/>
                <i/>
              </font>
              <fill>
                <patternFill>
                  <bgColor rgb="FF00B0F0"/>
                </patternFill>
              </fill>
            </x14:dxf>
          </x14:cfRule>
          <xm:sqref>O87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9FE7-5B9A-45F1-A4E1-5B17AF9BF53A}">
  <dimension ref="A2:H35"/>
  <sheetViews>
    <sheetView zoomScale="129" workbookViewId="0">
      <selection activeCell="G18" sqref="G18"/>
    </sheetView>
  </sheetViews>
  <sheetFormatPr defaultRowHeight="14.4" x14ac:dyDescent="0.3"/>
  <cols>
    <col min="1" max="1" width="16.33203125" bestFit="1" customWidth="1"/>
    <col min="2" max="2" width="10.77734375" bestFit="1" customWidth="1"/>
    <col min="3" max="3" width="16.33203125" bestFit="1" customWidth="1"/>
    <col min="4" max="4" width="19.88671875" bestFit="1" customWidth="1"/>
    <col min="5" max="5" width="18.77734375" bestFit="1" customWidth="1"/>
    <col min="6" max="6" width="14.77734375" bestFit="1" customWidth="1"/>
    <col min="7" max="7" width="12.6640625" bestFit="1" customWidth="1"/>
    <col min="8" max="8" width="24.109375" bestFit="1" customWidth="1"/>
    <col min="9" max="9" width="7.44140625" bestFit="1" customWidth="1"/>
    <col min="10" max="10" width="13.44140625" bestFit="1" customWidth="1"/>
    <col min="11" max="11" width="18" bestFit="1" customWidth="1"/>
    <col min="12" max="12" width="24.109375" bestFit="1" customWidth="1"/>
    <col min="13" max="13" width="23" bestFit="1" customWidth="1"/>
    <col min="14" max="14" width="16.33203125" bestFit="1" customWidth="1"/>
    <col min="15" max="15" width="12.33203125" bestFit="1" customWidth="1"/>
    <col min="16" max="16" width="5" bestFit="1" customWidth="1"/>
    <col min="17" max="17" width="5.6640625" bestFit="1" customWidth="1"/>
    <col min="18" max="18" width="7.44140625" bestFit="1" customWidth="1"/>
    <col min="19" max="19" width="7" bestFit="1" customWidth="1"/>
    <col min="20" max="20" width="19.88671875" bestFit="1" customWidth="1"/>
    <col min="21" max="23" width="11" bestFit="1" customWidth="1"/>
    <col min="24" max="24" width="12.33203125" bestFit="1" customWidth="1"/>
    <col min="25" max="27" width="11" bestFit="1" customWidth="1"/>
    <col min="28" max="28" width="12" bestFit="1" customWidth="1"/>
    <col min="29" max="29" width="18.77734375" bestFit="1" customWidth="1"/>
    <col min="30" max="32" width="11" bestFit="1" customWidth="1"/>
    <col min="33" max="33" width="12.33203125" bestFit="1" customWidth="1"/>
    <col min="34" max="36" width="11" bestFit="1" customWidth="1"/>
    <col min="37" max="37" width="12" bestFit="1" customWidth="1"/>
    <col min="38" max="38" width="14.77734375" bestFit="1" customWidth="1"/>
    <col min="39" max="40" width="10" bestFit="1" customWidth="1"/>
    <col min="41" max="41" width="10.6640625" bestFit="1" customWidth="1"/>
    <col min="42" max="42" width="12.33203125" bestFit="1" customWidth="1"/>
    <col min="43" max="44" width="10" bestFit="1" customWidth="1"/>
    <col min="45" max="45" width="10.6640625" bestFit="1" customWidth="1"/>
    <col min="46" max="46" width="7" bestFit="1" customWidth="1"/>
    <col min="47" max="47" width="15.33203125" bestFit="1" customWidth="1"/>
    <col min="48" max="48" width="20.88671875" bestFit="1" customWidth="1"/>
    <col min="49" max="49" width="24.44140625" bestFit="1" customWidth="1"/>
    <col min="50" max="50" width="23.33203125" bestFit="1" customWidth="1"/>
    <col min="51" max="51" width="19.33203125" bestFit="1" customWidth="1"/>
    <col min="52" max="86" width="5" bestFit="1" customWidth="1"/>
    <col min="87" max="87" width="7" bestFit="1" customWidth="1"/>
    <col min="88" max="88" width="10.5546875" bestFit="1" customWidth="1"/>
  </cols>
  <sheetData>
    <row r="2" spans="1:8" ht="25.2" x14ac:dyDescent="0.6">
      <c r="C2" s="13" t="s">
        <v>133</v>
      </c>
      <c r="D2" s="14"/>
      <c r="E2" s="14"/>
      <c r="F2" s="12"/>
    </row>
    <row r="4" spans="1:8" x14ac:dyDescent="0.3">
      <c r="A4" s="9" t="s">
        <v>121</v>
      </c>
      <c r="B4" t="s">
        <v>120</v>
      </c>
      <c r="C4" t="s">
        <v>123</v>
      </c>
      <c r="D4" t="s">
        <v>124</v>
      </c>
      <c r="E4" t="s">
        <v>125</v>
      </c>
      <c r="F4" t="s">
        <v>126</v>
      </c>
      <c r="G4" t="s">
        <v>128</v>
      </c>
      <c r="H4" t="s">
        <v>129</v>
      </c>
    </row>
    <row r="5" spans="1:8" x14ac:dyDescent="0.3">
      <c r="A5" s="10" t="s">
        <v>48</v>
      </c>
      <c r="B5">
        <v>3</v>
      </c>
      <c r="C5">
        <v>160</v>
      </c>
      <c r="D5">
        <v>469273.80000000005</v>
      </c>
      <c r="E5">
        <v>552460.19999999995</v>
      </c>
      <c r="F5">
        <v>83186.399999999965</v>
      </c>
      <c r="G5">
        <v>7.3447974752430563</v>
      </c>
      <c r="H5">
        <v>1.7654842622530227</v>
      </c>
    </row>
    <row r="6" spans="1:8" x14ac:dyDescent="0.3">
      <c r="A6" s="10" t="s">
        <v>90</v>
      </c>
      <c r="B6">
        <v>3</v>
      </c>
      <c r="C6">
        <v>372</v>
      </c>
      <c r="D6">
        <v>518745.11</v>
      </c>
      <c r="E6">
        <v>487655.63000000006</v>
      </c>
      <c r="F6">
        <v>-31089.479999999967</v>
      </c>
      <c r="G6">
        <v>-6.3460665778987453</v>
      </c>
      <c r="H6">
        <v>1.9516033663624799</v>
      </c>
    </row>
    <row r="7" spans="1:8" x14ac:dyDescent="0.3">
      <c r="A7" s="10" t="s">
        <v>30</v>
      </c>
      <c r="B7">
        <v>2</v>
      </c>
      <c r="C7">
        <v>215</v>
      </c>
      <c r="D7">
        <v>821655.75</v>
      </c>
      <c r="E7">
        <v>1058867.8999999999</v>
      </c>
      <c r="F7">
        <v>237212.15000000002</v>
      </c>
      <c r="G7">
        <v>30.446267324376038</v>
      </c>
      <c r="H7">
        <v>3.0912023974377094</v>
      </c>
    </row>
    <row r="8" spans="1:8" x14ac:dyDescent="0.3">
      <c r="A8" s="10" t="s">
        <v>18</v>
      </c>
      <c r="B8">
        <v>5</v>
      </c>
      <c r="C8">
        <v>703</v>
      </c>
      <c r="D8">
        <v>2687262.4000000004</v>
      </c>
      <c r="E8">
        <v>2904055.17</v>
      </c>
      <c r="F8">
        <v>216792.77000000002</v>
      </c>
      <c r="G8">
        <v>3.3468702243117265</v>
      </c>
      <c r="H8">
        <v>10.109917655203184</v>
      </c>
    </row>
    <row r="9" spans="1:8" x14ac:dyDescent="0.3">
      <c r="A9" s="10" t="s">
        <v>115</v>
      </c>
      <c r="B9">
        <v>1</v>
      </c>
      <c r="C9">
        <v>114</v>
      </c>
      <c r="D9">
        <v>450467.57999999996</v>
      </c>
      <c r="E9">
        <v>567955.98</v>
      </c>
      <c r="F9">
        <v>117488.40000000002</v>
      </c>
      <c r="G9">
        <v>26.081432985698999</v>
      </c>
      <c r="H9">
        <v>1.6947322078181317</v>
      </c>
    </row>
    <row r="10" spans="1:8" x14ac:dyDescent="0.3">
      <c r="A10" s="10" t="s">
        <v>113</v>
      </c>
      <c r="B10">
        <v>5</v>
      </c>
      <c r="C10">
        <v>605</v>
      </c>
      <c r="D10">
        <v>2301665.2400000002</v>
      </c>
      <c r="E10">
        <v>2747842.85</v>
      </c>
      <c r="F10">
        <v>446177.61</v>
      </c>
      <c r="G10">
        <v>19.215417016162398</v>
      </c>
      <c r="H10">
        <v>8.6592385046743008</v>
      </c>
    </row>
    <row r="11" spans="1:8" x14ac:dyDescent="0.3">
      <c r="A11" s="10" t="s">
        <v>64</v>
      </c>
      <c r="B11">
        <v>3</v>
      </c>
      <c r="C11">
        <v>377</v>
      </c>
      <c r="D11">
        <v>637058.14</v>
      </c>
      <c r="E11">
        <v>808494.74</v>
      </c>
      <c r="F11">
        <v>171436.60000000006</v>
      </c>
      <c r="G11">
        <v>16.300657668283844</v>
      </c>
      <c r="H11">
        <v>2.3967162034406839</v>
      </c>
    </row>
    <row r="12" spans="1:8" x14ac:dyDescent="0.3">
      <c r="A12" s="10" t="s">
        <v>61</v>
      </c>
      <c r="B12">
        <v>4</v>
      </c>
      <c r="C12">
        <v>277</v>
      </c>
      <c r="D12">
        <v>621098.21000000008</v>
      </c>
      <c r="E12">
        <v>800309.5199999999</v>
      </c>
      <c r="F12">
        <v>179211.31000000006</v>
      </c>
      <c r="G12">
        <v>24.499227424271684</v>
      </c>
      <c r="H12">
        <v>2.3366723543239001</v>
      </c>
    </row>
    <row r="13" spans="1:8" x14ac:dyDescent="0.3">
      <c r="A13" s="10" t="s">
        <v>35</v>
      </c>
      <c r="B13">
        <v>3</v>
      </c>
      <c r="C13">
        <v>283</v>
      </c>
      <c r="D13">
        <v>1005135.8200000001</v>
      </c>
      <c r="E13">
        <v>816359.14</v>
      </c>
      <c r="F13">
        <v>-188776.68000000002</v>
      </c>
      <c r="G13">
        <v>-14.23306225378535</v>
      </c>
      <c r="H13">
        <v>3.7814842244267357</v>
      </c>
    </row>
    <row r="14" spans="1:8" x14ac:dyDescent="0.3">
      <c r="A14" s="10" t="s">
        <v>92</v>
      </c>
      <c r="B14">
        <v>3</v>
      </c>
      <c r="C14">
        <v>469</v>
      </c>
      <c r="D14">
        <v>753007.00000000012</v>
      </c>
      <c r="E14">
        <v>1007012.82</v>
      </c>
      <c r="F14">
        <v>254005.81999999983</v>
      </c>
      <c r="G14">
        <v>12.515434254791407</v>
      </c>
      <c r="H14">
        <v>2.8329346489541121</v>
      </c>
    </row>
    <row r="15" spans="1:8" x14ac:dyDescent="0.3">
      <c r="A15" s="10" t="s">
        <v>87</v>
      </c>
      <c r="B15">
        <v>3</v>
      </c>
      <c r="C15">
        <v>300</v>
      </c>
      <c r="D15">
        <v>922240.78</v>
      </c>
      <c r="E15">
        <v>765601.82000000007</v>
      </c>
      <c r="F15">
        <v>-156638.96000000005</v>
      </c>
      <c r="G15">
        <v>-14.684643433420376</v>
      </c>
      <c r="H15">
        <v>3.4696196188620636</v>
      </c>
    </row>
    <row r="16" spans="1:8" x14ac:dyDescent="0.3">
      <c r="A16" s="10" t="s">
        <v>88</v>
      </c>
      <c r="B16">
        <v>3</v>
      </c>
      <c r="C16">
        <v>217</v>
      </c>
      <c r="D16">
        <v>119496.12</v>
      </c>
      <c r="E16">
        <v>128614.41</v>
      </c>
      <c r="F16">
        <v>9118.2899999999936</v>
      </c>
      <c r="G16">
        <v>2.1817001327977752</v>
      </c>
      <c r="H16">
        <v>0.44956381383384003</v>
      </c>
    </row>
    <row r="17" spans="1:8" x14ac:dyDescent="0.3">
      <c r="A17" s="10" t="s">
        <v>45</v>
      </c>
      <c r="B17">
        <v>3</v>
      </c>
      <c r="C17">
        <v>282</v>
      </c>
      <c r="D17">
        <v>241944.68</v>
      </c>
      <c r="E17">
        <v>265229.94</v>
      </c>
      <c r="F17">
        <v>23285.260000000031</v>
      </c>
      <c r="G17">
        <v>10.167277161978921</v>
      </c>
      <c r="H17">
        <v>0.91023518652829893</v>
      </c>
    </row>
    <row r="18" spans="1:8" x14ac:dyDescent="0.3">
      <c r="A18" s="10" t="s">
        <v>116</v>
      </c>
      <c r="B18">
        <v>6</v>
      </c>
      <c r="C18">
        <v>546</v>
      </c>
      <c r="D18">
        <v>1503808.7199999997</v>
      </c>
      <c r="E18">
        <v>1767263.3599999999</v>
      </c>
      <c r="F18">
        <v>263454.64</v>
      </c>
      <c r="G18">
        <v>17.20821699144318</v>
      </c>
      <c r="H18">
        <v>5.6575726763327978</v>
      </c>
    </row>
    <row r="19" spans="1:8" x14ac:dyDescent="0.3">
      <c r="A19" s="10" t="s">
        <v>53</v>
      </c>
      <c r="B19">
        <v>1</v>
      </c>
      <c r="C19">
        <v>109</v>
      </c>
      <c r="D19">
        <v>393546.68</v>
      </c>
      <c r="E19">
        <v>324258.64999999997</v>
      </c>
      <c r="F19">
        <v>-69288.030000000028</v>
      </c>
      <c r="G19">
        <v>-17.606051205920483</v>
      </c>
      <c r="H19">
        <v>1.4805865360519306</v>
      </c>
    </row>
    <row r="20" spans="1:8" x14ac:dyDescent="0.3">
      <c r="A20" s="10" t="s">
        <v>93</v>
      </c>
      <c r="B20">
        <v>2</v>
      </c>
      <c r="C20">
        <v>308</v>
      </c>
      <c r="D20">
        <v>1364568.35</v>
      </c>
      <c r="E20">
        <v>1360224.0699999998</v>
      </c>
      <c r="F20">
        <v>-4344.2800000000279</v>
      </c>
      <c r="G20">
        <v>-2.7734895521290843</v>
      </c>
      <c r="H20">
        <v>5.1337277868348385</v>
      </c>
    </row>
    <row r="21" spans="1:8" x14ac:dyDescent="0.3">
      <c r="A21" s="10" t="s">
        <v>65</v>
      </c>
      <c r="B21">
        <v>3</v>
      </c>
      <c r="C21">
        <v>200</v>
      </c>
      <c r="D21">
        <v>379180.44000000006</v>
      </c>
      <c r="E21">
        <v>422377.45999999996</v>
      </c>
      <c r="F21">
        <v>43197.019999999975</v>
      </c>
      <c r="G21">
        <v>15.202341270556026</v>
      </c>
      <c r="H21">
        <v>1.4265384075867364</v>
      </c>
    </row>
    <row r="22" spans="1:8" x14ac:dyDescent="0.3">
      <c r="A22" s="10" t="s">
        <v>58</v>
      </c>
      <c r="B22">
        <v>3</v>
      </c>
      <c r="C22">
        <v>249</v>
      </c>
      <c r="D22">
        <v>890106.54</v>
      </c>
      <c r="E22">
        <v>831158.17999999993</v>
      </c>
      <c r="F22">
        <v>-58948.360000000022</v>
      </c>
      <c r="G22">
        <v>-10.971363511391226</v>
      </c>
      <c r="H22">
        <v>3.3487253882456054</v>
      </c>
    </row>
    <row r="23" spans="1:8" x14ac:dyDescent="0.3">
      <c r="A23" s="10" t="s">
        <v>114</v>
      </c>
      <c r="B23">
        <v>4</v>
      </c>
      <c r="C23">
        <v>386</v>
      </c>
      <c r="D23">
        <v>1396091.36</v>
      </c>
      <c r="E23">
        <v>1361029.9900000002</v>
      </c>
      <c r="F23">
        <v>-35061.370000000039</v>
      </c>
      <c r="G23">
        <v>-1.3151883961584834</v>
      </c>
      <c r="H23">
        <v>5.2523224709059395</v>
      </c>
    </row>
    <row r="24" spans="1:8" x14ac:dyDescent="0.3">
      <c r="A24" s="10" t="s">
        <v>39</v>
      </c>
      <c r="B24">
        <v>4</v>
      </c>
      <c r="C24">
        <v>519</v>
      </c>
      <c r="D24">
        <v>1511067.3599999999</v>
      </c>
      <c r="E24">
        <v>1423045.6300000001</v>
      </c>
      <c r="F24">
        <v>-88021.729999999749</v>
      </c>
      <c r="G24">
        <v>-8.4205212729318379</v>
      </c>
      <c r="H24">
        <v>5.6848808590725133</v>
      </c>
    </row>
    <row r="25" spans="1:8" x14ac:dyDescent="0.3">
      <c r="A25" s="10" t="s">
        <v>78</v>
      </c>
      <c r="B25">
        <v>2</v>
      </c>
      <c r="C25">
        <v>256</v>
      </c>
      <c r="D25">
        <v>707268.32000000007</v>
      </c>
      <c r="E25">
        <v>992381.59999999986</v>
      </c>
      <c r="F25">
        <v>285113.27999999991</v>
      </c>
      <c r="G25">
        <v>40.338083998308434</v>
      </c>
      <c r="H25">
        <v>2.6608583052157071</v>
      </c>
    </row>
    <row r="26" spans="1:8" x14ac:dyDescent="0.3">
      <c r="A26" s="10" t="s">
        <v>112</v>
      </c>
      <c r="B26">
        <v>4</v>
      </c>
      <c r="C26">
        <v>432</v>
      </c>
      <c r="D26">
        <v>932381.61</v>
      </c>
      <c r="E26">
        <v>1330306.9900000002</v>
      </c>
      <c r="F26">
        <v>397925.38</v>
      </c>
      <c r="G26">
        <v>29.818151642744915</v>
      </c>
      <c r="H26">
        <v>3.5077710685513139</v>
      </c>
    </row>
    <row r="27" spans="1:8" x14ac:dyDescent="0.3">
      <c r="A27" s="10" t="s">
        <v>70</v>
      </c>
      <c r="B27">
        <v>3</v>
      </c>
      <c r="C27">
        <v>326</v>
      </c>
      <c r="D27">
        <v>888335.1</v>
      </c>
      <c r="E27">
        <v>912792.1100000001</v>
      </c>
      <c r="F27">
        <v>24457.00999999998</v>
      </c>
      <c r="G27">
        <v>5.5460831017289038</v>
      </c>
      <c r="H27">
        <v>3.3420609432211323</v>
      </c>
    </row>
    <row r="28" spans="1:8" x14ac:dyDescent="0.3">
      <c r="A28" s="10" t="s">
        <v>100</v>
      </c>
      <c r="B28">
        <v>1</v>
      </c>
      <c r="C28">
        <v>180</v>
      </c>
      <c r="D28">
        <v>799140.6</v>
      </c>
      <c r="E28">
        <v>624733.19999999995</v>
      </c>
      <c r="F28">
        <v>-174407.40000000002</v>
      </c>
      <c r="G28">
        <v>-21.824369829289118</v>
      </c>
      <c r="H28">
        <v>3.0064967458814831</v>
      </c>
    </row>
    <row r="29" spans="1:8" x14ac:dyDescent="0.3">
      <c r="A29" s="10" t="s">
        <v>74</v>
      </c>
      <c r="B29">
        <v>3</v>
      </c>
      <c r="C29">
        <v>323</v>
      </c>
      <c r="D29">
        <v>1272035.47</v>
      </c>
      <c r="E29">
        <v>1881042.1800000002</v>
      </c>
      <c r="F29">
        <v>609006.71000000008</v>
      </c>
      <c r="G29">
        <v>49.951128117646554</v>
      </c>
      <c r="H29">
        <v>4.7856040616642721</v>
      </c>
    </row>
    <row r="30" spans="1:8" x14ac:dyDescent="0.3">
      <c r="A30" s="10" t="s">
        <v>118</v>
      </c>
      <c r="B30">
        <v>1</v>
      </c>
      <c r="C30">
        <v>169</v>
      </c>
      <c r="D30">
        <v>86769.67</v>
      </c>
      <c r="E30">
        <v>65164.71</v>
      </c>
      <c r="F30">
        <v>-21604.959999999999</v>
      </c>
      <c r="G30">
        <v>-24.899207292133298</v>
      </c>
      <c r="H30">
        <v>0.32644159300154457</v>
      </c>
    </row>
    <row r="31" spans="1:8" x14ac:dyDescent="0.3">
      <c r="A31" s="10" t="s">
        <v>33</v>
      </c>
      <c r="B31">
        <v>2</v>
      </c>
      <c r="C31">
        <v>233</v>
      </c>
      <c r="D31">
        <v>532024.99</v>
      </c>
      <c r="E31">
        <v>609670.81000000006</v>
      </c>
      <c r="F31">
        <v>77645.820000000007</v>
      </c>
      <c r="G31">
        <v>13.475796741331981</v>
      </c>
      <c r="H31">
        <v>2.0015644320444093</v>
      </c>
    </row>
    <row r="32" spans="1:8" x14ac:dyDescent="0.3">
      <c r="A32" s="10" t="s">
        <v>99</v>
      </c>
      <c r="B32">
        <v>3</v>
      </c>
      <c r="C32">
        <v>504</v>
      </c>
      <c r="D32">
        <v>1605076.31</v>
      </c>
      <c r="E32">
        <v>1754061.0499999998</v>
      </c>
      <c r="F32">
        <v>148984.73999999987</v>
      </c>
      <c r="G32">
        <v>14.315431692364436</v>
      </c>
      <c r="H32">
        <v>6.0385577993490243</v>
      </c>
    </row>
    <row r="33" spans="1:8" x14ac:dyDescent="0.3">
      <c r="A33" s="10" t="s">
        <v>103</v>
      </c>
      <c r="B33">
        <v>1</v>
      </c>
      <c r="C33">
        <v>174</v>
      </c>
      <c r="D33">
        <v>100965.24</v>
      </c>
      <c r="E33">
        <v>100314.48</v>
      </c>
      <c r="F33">
        <v>-650.76000000000931</v>
      </c>
      <c r="G33">
        <v>-0.64453865508566044</v>
      </c>
      <c r="H33">
        <v>0.37984763320389797</v>
      </c>
    </row>
    <row r="34" spans="1:8" x14ac:dyDescent="0.3">
      <c r="A34" s="10" t="s">
        <v>117</v>
      </c>
      <c r="B34">
        <v>1</v>
      </c>
      <c r="C34">
        <v>155</v>
      </c>
      <c r="D34">
        <v>669040.45000000007</v>
      </c>
      <c r="E34">
        <v>1036264.9</v>
      </c>
      <c r="F34">
        <v>367224.44999999995</v>
      </c>
      <c r="G34">
        <v>54.888228357493176</v>
      </c>
      <c r="H34">
        <v>2.5170388487183399</v>
      </c>
    </row>
    <row r="35" spans="1:8" x14ac:dyDescent="0.3">
      <c r="A35" s="10" t="s">
        <v>122</v>
      </c>
      <c r="B35">
        <v>85</v>
      </c>
      <c r="C35">
        <v>9443</v>
      </c>
      <c r="D35">
        <v>26580457.840000011</v>
      </c>
      <c r="E35">
        <v>29706549.489999998</v>
      </c>
      <c r="F35">
        <v>3126091.6500000013</v>
      </c>
      <c r="G35">
        <v>9.8261808520465728</v>
      </c>
      <c r="H35">
        <v>99.999999999999986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76335-4594-44A8-BAFF-1D3DFDB4B877}">
  <dimension ref="A2:H23"/>
  <sheetViews>
    <sheetView zoomScale="144" workbookViewId="0">
      <selection activeCell="J5" sqref="J5"/>
    </sheetView>
  </sheetViews>
  <sheetFormatPr defaultRowHeight="14.4" x14ac:dyDescent="0.3"/>
  <cols>
    <col min="1" max="1" width="15.21875" bestFit="1" customWidth="1"/>
    <col min="2" max="2" width="10.6640625" bestFit="1" customWidth="1"/>
    <col min="3" max="3" width="16.33203125" bestFit="1" customWidth="1"/>
    <col min="4" max="4" width="19.6640625" bestFit="1" customWidth="1"/>
    <col min="5" max="5" width="18.77734375" bestFit="1" customWidth="1"/>
    <col min="6" max="6" width="14.77734375" bestFit="1" customWidth="1"/>
    <col min="7" max="7" width="13.44140625" bestFit="1" customWidth="1"/>
    <col min="8" max="8" width="24" bestFit="1" customWidth="1"/>
    <col min="9" max="9" width="11.77734375" bestFit="1" customWidth="1"/>
    <col min="10" max="10" width="15.33203125" bestFit="1" customWidth="1"/>
    <col min="11" max="11" width="11.77734375" bestFit="1" customWidth="1"/>
    <col min="12" max="12" width="16.88671875" bestFit="1" customWidth="1"/>
    <col min="13" max="13" width="21.6640625" bestFit="1" customWidth="1"/>
    <col min="14" max="14" width="25.109375" bestFit="1" customWidth="1"/>
    <col min="15" max="15" width="24.21875" bestFit="1" customWidth="1"/>
    <col min="16" max="16" width="19.88671875" bestFit="1" customWidth="1"/>
    <col min="17" max="17" width="23.33203125" bestFit="1" customWidth="1"/>
    <col min="18" max="18" width="19.33203125" bestFit="1" customWidth="1"/>
    <col min="19" max="19" width="20.33203125" bestFit="1" customWidth="1"/>
  </cols>
  <sheetData>
    <row r="2" spans="1:8" ht="25.2" x14ac:dyDescent="0.6">
      <c r="B2" s="13" t="s">
        <v>127</v>
      </c>
      <c r="C2" s="12"/>
      <c r="D2" s="12"/>
      <c r="E2" s="12"/>
      <c r="F2" s="12"/>
      <c r="G2" s="12"/>
    </row>
    <row r="4" spans="1:8" x14ac:dyDescent="0.3">
      <c r="A4" s="9" t="s">
        <v>121</v>
      </c>
      <c r="B4" t="s">
        <v>131</v>
      </c>
      <c r="C4" t="s">
        <v>123</v>
      </c>
      <c r="D4" t="s">
        <v>124</v>
      </c>
      <c r="E4" t="s">
        <v>125</v>
      </c>
      <c r="F4" t="s">
        <v>126</v>
      </c>
      <c r="G4" t="s">
        <v>128</v>
      </c>
      <c r="H4" t="s">
        <v>129</v>
      </c>
    </row>
    <row r="5" spans="1:8" x14ac:dyDescent="0.3">
      <c r="A5" s="10" t="s">
        <v>41</v>
      </c>
      <c r="B5">
        <v>29</v>
      </c>
      <c r="C5">
        <v>3109</v>
      </c>
      <c r="D5">
        <v>7783598.7600000016</v>
      </c>
      <c r="E5">
        <v>9592284.5900000017</v>
      </c>
      <c r="F5">
        <v>1808685.8300000003</v>
      </c>
      <c r="G5">
        <v>16.604566987959693</v>
      </c>
      <c r="H5">
        <v>29.28316286669348</v>
      </c>
    </row>
    <row r="6" spans="1:8" x14ac:dyDescent="0.3">
      <c r="A6" s="11" t="s">
        <v>66</v>
      </c>
      <c r="B6">
        <v>1</v>
      </c>
      <c r="C6">
        <v>180</v>
      </c>
      <c r="D6">
        <v>799140.6</v>
      </c>
      <c r="E6">
        <v>624733.19999999995</v>
      </c>
      <c r="F6">
        <v>-174407.40000000002</v>
      </c>
      <c r="G6">
        <v>-21.824369829289118</v>
      </c>
      <c r="H6">
        <v>3.0064967458814831</v>
      </c>
    </row>
    <row r="7" spans="1:8" x14ac:dyDescent="0.3">
      <c r="A7" s="11" t="s">
        <v>59</v>
      </c>
      <c r="B7">
        <v>3</v>
      </c>
      <c r="C7">
        <v>217</v>
      </c>
      <c r="D7">
        <v>119496.12</v>
      </c>
      <c r="E7">
        <v>128614.41</v>
      </c>
      <c r="F7">
        <v>9118.2899999999936</v>
      </c>
      <c r="G7">
        <v>2.1817001327977752</v>
      </c>
      <c r="H7">
        <v>0.44956381383384003</v>
      </c>
    </row>
    <row r="8" spans="1:8" x14ac:dyDescent="0.3">
      <c r="A8" s="11" t="s">
        <v>40</v>
      </c>
      <c r="B8">
        <v>7</v>
      </c>
      <c r="C8">
        <v>896</v>
      </c>
      <c r="D8">
        <v>2148125.5</v>
      </c>
      <c r="E8">
        <v>2231540.37</v>
      </c>
      <c r="F8">
        <v>83414.870000000286</v>
      </c>
      <c r="G8">
        <v>2.1742697018748838</v>
      </c>
      <c r="H8">
        <v>8.0815970625131968</v>
      </c>
    </row>
    <row r="9" spans="1:8" x14ac:dyDescent="0.3">
      <c r="A9" s="11" t="s">
        <v>19</v>
      </c>
      <c r="B9">
        <v>4</v>
      </c>
      <c r="C9">
        <v>432</v>
      </c>
      <c r="D9">
        <v>932381.61</v>
      </c>
      <c r="E9">
        <v>1330306.9900000002</v>
      </c>
      <c r="F9">
        <v>397925.38</v>
      </c>
      <c r="G9">
        <v>29.818151642744915</v>
      </c>
      <c r="H9">
        <v>3.5077710685513139</v>
      </c>
    </row>
    <row r="10" spans="1:8" x14ac:dyDescent="0.3">
      <c r="A10" s="11" t="s">
        <v>49</v>
      </c>
      <c r="B10">
        <v>3</v>
      </c>
      <c r="C10">
        <v>160</v>
      </c>
      <c r="D10">
        <v>469273.80000000005</v>
      </c>
      <c r="E10">
        <v>552460.19999999995</v>
      </c>
      <c r="F10">
        <v>83186.399999999965</v>
      </c>
      <c r="G10">
        <v>7.3447974752430563</v>
      </c>
      <c r="H10">
        <v>1.7654842622530227</v>
      </c>
    </row>
    <row r="11" spans="1:8" x14ac:dyDescent="0.3">
      <c r="A11" s="11" t="s">
        <v>25</v>
      </c>
      <c r="B11">
        <v>4</v>
      </c>
      <c r="C11">
        <v>624</v>
      </c>
      <c r="D11">
        <v>1422047.4500000002</v>
      </c>
      <c r="E11">
        <v>2043277.72</v>
      </c>
      <c r="F11">
        <v>621230.26999999979</v>
      </c>
      <c r="G11">
        <v>23.108632780466845</v>
      </c>
      <c r="H11">
        <v>5.349973497672452</v>
      </c>
    </row>
    <row r="12" spans="1:8" x14ac:dyDescent="0.3">
      <c r="A12" s="11" t="s">
        <v>54</v>
      </c>
      <c r="B12">
        <v>3</v>
      </c>
      <c r="C12">
        <v>323</v>
      </c>
      <c r="D12">
        <v>1272035.47</v>
      </c>
      <c r="E12">
        <v>1881042.1800000002</v>
      </c>
      <c r="F12">
        <v>609006.71000000008</v>
      </c>
      <c r="G12">
        <v>49.951128117646554</v>
      </c>
      <c r="H12">
        <v>4.7856040616642721</v>
      </c>
    </row>
    <row r="13" spans="1:8" x14ac:dyDescent="0.3">
      <c r="A13" s="11" t="s">
        <v>36</v>
      </c>
      <c r="B13">
        <v>4</v>
      </c>
      <c r="C13">
        <v>277</v>
      </c>
      <c r="D13">
        <v>621098.21000000008</v>
      </c>
      <c r="E13">
        <v>800309.5199999999</v>
      </c>
      <c r="F13">
        <v>179211.31000000006</v>
      </c>
      <c r="G13">
        <v>24.499227424271684</v>
      </c>
      <c r="H13">
        <v>2.3366723543239001</v>
      </c>
    </row>
    <row r="14" spans="1:8" x14ac:dyDescent="0.3">
      <c r="A14" s="10" t="s">
        <v>20</v>
      </c>
      <c r="B14">
        <v>56</v>
      </c>
      <c r="C14">
        <v>6334</v>
      </c>
      <c r="D14">
        <v>18796859.080000002</v>
      </c>
      <c r="E14">
        <v>20114264.899999995</v>
      </c>
      <c r="F14">
        <v>1317405.8199999996</v>
      </c>
      <c r="G14">
        <v>6.3159451745201398</v>
      </c>
      <c r="H14">
        <v>70.71683713330647</v>
      </c>
    </row>
    <row r="15" spans="1:8" x14ac:dyDescent="0.3">
      <c r="A15" s="11" t="s">
        <v>66</v>
      </c>
      <c r="B15">
        <v>3</v>
      </c>
      <c r="C15">
        <v>200</v>
      </c>
      <c r="D15">
        <v>379180.44000000006</v>
      </c>
      <c r="E15">
        <v>422377.45999999996</v>
      </c>
      <c r="F15">
        <v>43197.019999999975</v>
      </c>
      <c r="G15">
        <v>15.202341270556026</v>
      </c>
      <c r="H15">
        <v>1.4265384075867364</v>
      </c>
    </row>
    <row r="16" spans="1:8" x14ac:dyDescent="0.3">
      <c r="A16" s="11" t="s">
        <v>59</v>
      </c>
      <c r="B16">
        <v>10</v>
      </c>
      <c r="C16">
        <v>1239</v>
      </c>
      <c r="D16">
        <v>3464395.54</v>
      </c>
      <c r="E16">
        <v>3640830.84</v>
      </c>
      <c r="F16">
        <v>176435.29999999993</v>
      </c>
      <c r="G16">
        <v>1.7075437794922397</v>
      </c>
      <c r="H16">
        <v>13.033618761775241</v>
      </c>
    </row>
    <row r="17" spans="1:8" x14ac:dyDescent="0.3">
      <c r="A17" s="11" t="s">
        <v>40</v>
      </c>
      <c r="B17">
        <v>6</v>
      </c>
      <c r="C17">
        <v>642</v>
      </c>
      <c r="D17">
        <v>2103359.6800000002</v>
      </c>
      <c r="E17">
        <v>2353411.59</v>
      </c>
      <c r="F17">
        <v>250051.90999999986</v>
      </c>
      <c r="G17">
        <v>12.569235735330489</v>
      </c>
      <c r="H17">
        <v>7.9131807761216457</v>
      </c>
    </row>
    <row r="18" spans="1:8" x14ac:dyDescent="0.3">
      <c r="A18" s="11" t="s">
        <v>19</v>
      </c>
      <c r="B18">
        <v>13</v>
      </c>
      <c r="C18">
        <v>1500</v>
      </c>
      <c r="D18">
        <v>4673103.6100000003</v>
      </c>
      <c r="E18">
        <v>4993754.8299999991</v>
      </c>
      <c r="F18">
        <v>320651.22000000003</v>
      </c>
      <c r="G18">
        <v>4.9288297658451032</v>
      </c>
      <c r="H18">
        <v>17.580974858031254</v>
      </c>
    </row>
    <row r="19" spans="1:8" x14ac:dyDescent="0.3">
      <c r="A19" s="11" t="s">
        <v>49</v>
      </c>
      <c r="B19">
        <v>3</v>
      </c>
      <c r="C19">
        <v>482</v>
      </c>
      <c r="D19">
        <v>1465533.5899999999</v>
      </c>
      <c r="E19">
        <v>1460538.5499999998</v>
      </c>
      <c r="F19">
        <v>-4995.0400000000373</v>
      </c>
      <c r="G19">
        <v>-2.0638392531146099</v>
      </c>
      <c r="H19">
        <v>5.5135754200387366</v>
      </c>
    </row>
    <row r="20" spans="1:8" x14ac:dyDescent="0.3">
      <c r="A20" s="11" t="s">
        <v>25</v>
      </c>
      <c r="B20">
        <v>9</v>
      </c>
      <c r="C20">
        <v>948</v>
      </c>
      <c r="D20">
        <v>2122603.38</v>
      </c>
      <c r="E20">
        <v>2442098.88</v>
      </c>
      <c r="F20">
        <v>319495.5</v>
      </c>
      <c r="G20">
        <v>11.700187571021084</v>
      </c>
      <c r="H20">
        <v>7.9855787013787527</v>
      </c>
    </row>
    <row r="21" spans="1:8" x14ac:dyDescent="0.3">
      <c r="A21" s="11" t="s">
        <v>54</v>
      </c>
      <c r="B21">
        <v>1</v>
      </c>
      <c r="C21">
        <v>109</v>
      </c>
      <c r="D21">
        <v>393546.68</v>
      </c>
      <c r="E21">
        <v>324258.64999999997</v>
      </c>
      <c r="F21">
        <v>-69288.030000000028</v>
      </c>
      <c r="G21">
        <v>-17.606051205920483</v>
      </c>
      <c r="H21">
        <v>1.4805865360519306</v>
      </c>
    </row>
    <row r="22" spans="1:8" x14ac:dyDescent="0.3">
      <c r="A22" s="11" t="s">
        <v>36</v>
      </c>
      <c r="B22">
        <v>11</v>
      </c>
      <c r="C22">
        <v>1214</v>
      </c>
      <c r="D22">
        <v>4195136.16</v>
      </c>
      <c r="E22">
        <v>4476994.1000000006</v>
      </c>
      <c r="F22">
        <v>281857.94</v>
      </c>
      <c r="G22">
        <v>6.3651043295129686</v>
      </c>
      <c r="H22">
        <v>15.782783672322168</v>
      </c>
    </row>
    <row r="23" spans="1:8" x14ac:dyDescent="0.3">
      <c r="A23" s="10" t="s">
        <v>122</v>
      </c>
      <c r="B23">
        <v>85</v>
      </c>
      <c r="C23">
        <v>9443</v>
      </c>
      <c r="D23">
        <v>26580457.84</v>
      </c>
      <c r="E23">
        <v>29706549.490000006</v>
      </c>
      <c r="F23">
        <v>3126091.6500000004</v>
      </c>
      <c r="G23">
        <v>9.8261808520465745</v>
      </c>
      <c r="H23">
        <v>99.999999999999986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C17A-5876-4583-AE0B-BAF56D50C28D}">
  <dimension ref="A2:G10"/>
  <sheetViews>
    <sheetView zoomScale="161" workbookViewId="0">
      <selection activeCell="H7" sqref="H7"/>
    </sheetView>
  </sheetViews>
  <sheetFormatPr defaultRowHeight="14.4" x14ac:dyDescent="0.3"/>
  <cols>
    <col min="1" max="1" width="13.44140625" bestFit="1" customWidth="1"/>
    <col min="2" max="2" width="12.109375" bestFit="1" customWidth="1"/>
    <col min="3" max="3" width="19.88671875" bestFit="1" customWidth="1"/>
    <col min="4" max="4" width="18.77734375" bestFit="1" customWidth="1"/>
    <col min="5" max="5" width="14.77734375" bestFit="1" customWidth="1"/>
    <col min="6" max="6" width="12" bestFit="1" customWidth="1"/>
    <col min="7" max="7" width="24.44140625" bestFit="1" customWidth="1"/>
    <col min="8" max="8" width="12.88671875" bestFit="1" customWidth="1"/>
  </cols>
  <sheetData>
    <row r="2" spans="1:7" ht="25.2" x14ac:dyDescent="0.6">
      <c r="B2" s="13" t="s">
        <v>134</v>
      </c>
      <c r="C2" s="12"/>
      <c r="D2" s="12"/>
      <c r="E2" s="12"/>
      <c r="F2" s="12"/>
      <c r="G2" s="12"/>
    </row>
    <row r="4" spans="1:7" x14ac:dyDescent="0.3">
      <c r="A4" s="9" t="s">
        <v>121</v>
      </c>
      <c r="B4" t="s">
        <v>130</v>
      </c>
      <c r="C4" t="s">
        <v>124</v>
      </c>
      <c r="D4" t="s">
        <v>125</v>
      </c>
      <c r="E4" t="s">
        <v>126</v>
      </c>
      <c r="F4" t="s">
        <v>128</v>
      </c>
      <c r="G4" t="s">
        <v>132</v>
      </c>
    </row>
    <row r="5" spans="1:7" x14ac:dyDescent="0.3">
      <c r="A5" s="10" t="s">
        <v>55</v>
      </c>
      <c r="B5">
        <v>1968</v>
      </c>
      <c r="C5">
        <v>5279499.919999999</v>
      </c>
      <c r="D5">
        <v>5665857.7399999993</v>
      </c>
      <c r="E5">
        <v>386357.81999999977</v>
      </c>
      <c r="F5">
        <v>6.7961219403930739</v>
      </c>
      <c r="G5">
        <v>19.862336276446914</v>
      </c>
    </row>
    <row r="6" spans="1:7" x14ac:dyDescent="0.3">
      <c r="A6" s="10" t="s">
        <v>26</v>
      </c>
      <c r="B6">
        <v>2847</v>
      </c>
      <c r="C6">
        <v>8270114.0199999996</v>
      </c>
      <c r="D6">
        <v>9484032.6099999994</v>
      </c>
      <c r="E6">
        <v>1213918.5900000003</v>
      </c>
      <c r="F6">
        <v>10.779960746605132</v>
      </c>
      <c r="G6">
        <v>31.113512302089067</v>
      </c>
    </row>
    <row r="7" spans="1:7" x14ac:dyDescent="0.3">
      <c r="A7" s="10" t="s">
        <v>50</v>
      </c>
      <c r="B7">
        <v>1680</v>
      </c>
      <c r="C7">
        <v>4469923.2600000007</v>
      </c>
      <c r="D7">
        <v>5549075.5</v>
      </c>
      <c r="E7">
        <v>1079152.24</v>
      </c>
      <c r="F7">
        <v>21.179147218598327</v>
      </c>
      <c r="G7">
        <v>16.816577377660391</v>
      </c>
    </row>
    <row r="8" spans="1:7" x14ac:dyDescent="0.3">
      <c r="A8" s="10" t="s">
        <v>97</v>
      </c>
      <c r="B8">
        <v>184</v>
      </c>
      <c r="C8">
        <v>574288.75</v>
      </c>
      <c r="D8">
        <v>510742.15</v>
      </c>
      <c r="E8">
        <v>-63546.599999999919</v>
      </c>
      <c r="F8">
        <v>6.1595527262187986</v>
      </c>
      <c r="G8">
        <v>2.1605675622929739</v>
      </c>
    </row>
    <row r="9" spans="1:7" x14ac:dyDescent="0.3">
      <c r="A9" s="10" t="s">
        <v>21</v>
      </c>
      <c r="B9">
        <v>2764</v>
      </c>
      <c r="C9">
        <v>7986631.8899999987</v>
      </c>
      <c r="D9">
        <v>8496841.4900000002</v>
      </c>
      <c r="E9">
        <v>510209.59999999974</v>
      </c>
      <c r="F9">
        <v>5.6862358262701296</v>
      </c>
      <c r="G9">
        <v>30.047006481510614</v>
      </c>
    </row>
    <row r="10" spans="1:7" x14ac:dyDescent="0.3">
      <c r="A10" s="10" t="s">
        <v>122</v>
      </c>
      <c r="B10">
        <v>9443</v>
      </c>
      <c r="C10">
        <v>26580457.840000011</v>
      </c>
      <c r="D10">
        <v>29706549.49000001</v>
      </c>
      <c r="E10">
        <v>3126091.6499999994</v>
      </c>
      <c r="F10">
        <v>9.8261808520465763</v>
      </c>
      <c r="G10">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260C7-AEA0-44AE-AE2E-A5B9D619B0D4}">
  <dimension ref="A1"/>
  <sheetViews>
    <sheetView tabSelected="1" zoomScale="75" zoomScaleNormal="55" workbookViewId="0">
      <selection activeCell="AF28" sqref="AF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CA219-D15A-46B8-9DBA-D6877FBC5A67}">
  <dimension ref="A2:S36"/>
  <sheetViews>
    <sheetView zoomScale="54" workbookViewId="0">
      <selection activeCell="K22" sqref="K22"/>
    </sheetView>
  </sheetViews>
  <sheetFormatPr defaultRowHeight="14.4" x14ac:dyDescent="0.3"/>
  <cols>
    <col min="1" max="1" width="18.88671875" bestFit="1" customWidth="1"/>
    <col min="2" max="2" width="20.21875" bestFit="1" customWidth="1"/>
    <col min="3" max="3" width="27.88671875" bestFit="1" customWidth="1"/>
    <col min="5" max="5" width="18.88671875" bestFit="1" customWidth="1"/>
    <col min="6" max="6" width="33.44140625" bestFit="1" customWidth="1"/>
    <col min="8" max="8" width="19.44140625" bestFit="1" customWidth="1"/>
    <col min="9" max="9" width="32.21875" bestFit="1" customWidth="1"/>
    <col min="11" max="11" width="18.88671875" bestFit="1" customWidth="1"/>
    <col min="12" max="12" width="23.5546875" bestFit="1" customWidth="1"/>
    <col min="13" max="13" width="32.21875" bestFit="1" customWidth="1"/>
    <col min="14" max="14" width="18.88671875" bestFit="1" customWidth="1"/>
    <col min="15" max="15" width="23.109375" bestFit="1" customWidth="1"/>
    <col min="17" max="17" width="18.88671875" bestFit="1" customWidth="1"/>
    <col min="18" max="18" width="34.88671875" bestFit="1" customWidth="1"/>
    <col min="19" max="19" width="33" bestFit="1" customWidth="1"/>
  </cols>
  <sheetData>
    <row r="2" spans="1:19" x14ac:dyDescent="0.3">
      <c r="K2" s="9" t="s">
        <v>121</v>
      </c>
      <c r="L2" t="s">
        <v>136</v>
      </c>
      <c r="M2" t="s">
        <v>143</v>
      </c>
      <c r="O2" s="16" t="e" vm="1">
        <v>#VALUE!</v>
      </c>
      <c r="Q2" s="9" t="s">
        <v>121</v>
      </c>
      <c r="R2" t="s">
        <v>138</v>
      </c>
      <c r="S2" t="s">
        <v>144</v>
      </c>
    </row>
    <row r="3" spans="1:19" x14ac:dyDescent="0.3">
      <c r="A3" s="9" t="s">
        <v>121</v>
      </c>
      <c r="B3" t="s">
        <v>140</v>
      </c>
      <c r="C3" t="s">
        <v>141</v>
      </c>
      <c r="E3" s="9" t="s">
        <v>121</v>
      </c>
      <c r="F3" t="s">
        <v>136</v>
      </c>
      <c r="K3" s="10" t="s">
        <v>66</v>
      </c>
      <c r="L3" s="15">
        <v>-131210.38000000006</v>
      </c>
      <c r="M3" s="15">
        <v>38562.295186000003</v>
      </c>
      <c r="Q3" s="10" t="s">
        <v>66</v>
      </c>
      <c r="R3" s="15">
        <v>1178321.04</v>
      </c>
      <c r="S3" s="15">
        <v>1047110.6599999999</v>
      </c>
    </row>
    <row r="4" spans="1:19" x14ac:dyDescent="0.3">
      <c r="A4" s="10" t="s">
        <v>66</v>
      </c>
      <c r="B4" s="15">
        <v>11169.560000000001</v>
      </c>
      <c r="C4" s="15">
        <v>6791.43</v>
      </c>
      <c r="E4" s="10" t="s">
        <v>41</v>
      </c>
      <c r="F4" s="15">
        <v>1808685.8300000005</v>
      </c>
      <c r="K4" s="10" t="s">
        <v>59</v>
      </c>
      <c r="L4" s="15">
        <v>185553.58999999991</v>
      </c>
      <c r="M4" s="15">
        <v>111108.16999799998</v>
      </c>
      <c r="Q4" s="10" t="s">
        <v>59</v>
      </c>
      <c r="R4" s="15">
        <v>3583891.66</v>
      </c>
      <c r="S4" s="15">
        <v>3769445.25</v>
      </c>
    </row>
    <row r="5" spans="1:19" x14ac:dyDescent="0.3">
      <c r="A5" s="10" t="s">
        <v>59</v>
      </c>
      <c r="B5" s="15">
        <v>37550.33</v>
      </c>
      <c r="C5" s="15">
        <v>23446.93</v>
      </c>
      <c r="E5" s="10" t="s">
        <v>20</v>
      </c>
      <c r="F5" s="15">
        <v>1317405.8199999998</v>
      </c>
      <c r="H5" s="9" t="s">
        <v>121</v>
      </c>
      <c r="I5" t="s">
        <v>143</v>
      </c>
      <c r="K5" s="10" t="s">
        <v>40</v>
      </c>
      <c r="L5" s="15">
        <v>333466.78000000014</v>
      </c>
      <c r="M5" s="15">
        <v>179699.22083999999</v>
      </c>
      <c r="Q5" s="10" t="s">
        <v>40</v>
      </c>
      <c r="R5" s="15">
        <v>4251485.18</v>
      </c>
      <c r="S5" s="15">
        <v>4584951.96</v>
      </c>
    </row>
    <row r="6" spans="1:19" x14ac:dyDescent="0.3">
      <c r="A6" s="10" t="s">
        <v>40</v>
      </c>
      <c r="B6" s="15">
        <v>47086.539999999994</v>
      </c>
      <c r="C6" s="15">
        <v>30315.32</v>
      </c>
      <c r="E6" s="10" t="s">
        <v>122</v>
      </c>
      <c r="F6" s="15">
        <v>3126091.6500000004</v>
      </c>
      <c r="H6" s="10" t="s">
        <v>48</v>
      </c>
      <c r="I6" s="15">
        <v>17656.903634999999</v>
      </c>
      <c r="K6" s="10" t="s">
        <v>19</v>
      </c>
      <c r="L6" s="15">
        <v>718576.60000000021</v>
      </c>
      <c r="M6" s="15">
        <v>189694.74531900004</v>
      </c>
      <c r="Q6" s="10" t="s">
        <v>19</v>
      </c>
      <c r="R6" s="15">
        <v>5605485.2200000007</v>
      </c>
      <c r="S6" s="15">
        <v>6324061.8199999994</v>
      </c>
    </row>
    <row r="7" spans="1:19" x14ac:dyDescent="0.3">
      <c r="A7" s="10" t="s">
        <v>19</v>
      </c>
      <c r="B7" s="15">
        <v>60863.05999999999</v>
      </c>
      <c r="C7" s="15">
        <v>35601.82</v>
      </c>
      <c r="H7" s="10" t="s">
        <v>90</v>
      </c>
      <c r="I7" s="15">
        <v>10309.191812000001</v>
      </c>
      <c r="K7" s="10" t="s">
        <v>49</v>
      </c>
      <c r="L7" s="15">
        <v>78191.359999999928</v>
      </c>
      <c r="M7" s="15">
        <v>39797.883736000003</v>
      </c>
      <c r="Q7" s="10" t="s">
        <v>49</v>
      </c>
      <c r="R7" s="15">
        <v>1934807.3900000001</v>
      </c>
      <c r="S7" s="15">
        <v>2012998.75</v>
      </c>
    </row>
    <row r="8" spans="1:19" x14ac:dyDescent="0.3">
      <c r="A8" s="10" t="s">
        <v>49</v>
      </c>
      <c r="B8" s="15">
        <v>20002.75</v>
      </c>
      <c r="C8" s="15">
        <v>13667.809999999998</v>
      </c>
      <c r="H8" s="10" t="s">
        <v>30</v>
      </c>
      <c r="I8" s="15">
        <v>32158.578399999995</v>
      </c>
      <c r="K8" s="10" t="s">
        <v>25</v>
      </c>
      <c r="L8" s="15">
        <v>940725.77</v>
      </c>
      <c r="M8" s="15">
        <v>96816.817827999999</v>
      </c>
      <c r="Q8" s="10" t="s">
        <v>25</v>
      </c>
      <c r="R8" s="15">
        <v>3544650.8300000005</v>
      </c>
      <c r="S8" s="15">
        <v>4485376.5999999996</v>
      </c>
    </row>
    <row r="9" spans="1:19" x14ac:dyDescent="0.3">
      <c r="A9" s="10" t="s">
        <v>25</v>
      </c>
      <c r="B9" s="15">
        <v>41600.87000000001</v>
      </c>
      <c r="C9" s="15">
        <v>24926.899999999998</v>
      </c>
      <c r="E9" s="9" t="s">
        <v>121</v>
      </c>
      <c r="F9" t="s">
        <v>139</v>
      </c>
      <c r="H9" s="10" t="s">
        <v>18</v>
      </c>
      <c r="I9" s="15">
        <v>86764.261828000002</v>
      </c>
      <c r="K9" s="10" t="s">
        <v>54</v>
      </c>
      <c r="L9" s="15">
        <v>539718.68000000005</v>
      </c>
      <c r="M9" s="15">
        <v>39667.498219999994</v>
      </c>
      <c r="Q9" s="10" t="s">
        <v>54</v>
      </c>
      <c r="R9" s="15">
        <v>1665582.15</v>
      </c>
      <c r="S9" s="15">
        <v>2205300.83</v>
      </c>
    </row>
    <row r="10" spans="1:19" x14ac:dyDescent="0.3">
      <c r="A10" s="10" t="s">
        <v>54</v>
      </c>
      <c r="B10" s="15">
        <v>23982.230000000003</v>
      </c>
      <c r="C10" s="15">
        <v>13017.630000000001</v>
      </c>
      <c r="E10" s="10" t="s">
        <v>41</v>
      </c>
      <c r="F10" s="15">
        <v>29.28316286669348</v>
      </c>
      <c r="H10" s="10" t="s">
        <v>115</v>
      </c>
      <c r="I10" s="15">
        <v>18401.773752000001</v>
      </c>
      <c r="K10" s="10" t="s">
        <v>36</v>
      </c>
      <c r="L10" s="15">
        <v>461069.25</v>
      </c>
      <c r="M10" s="15">
        <v>125592.60487400001</v>
      </c>
      <c r="Q10" s="10" t="s">
        <v>36</v>
      </c>
      <c r="R10" s="15">
        <v>4816234.3699999992</v>
      </c>
      <c r="S10" s="15">
        <v>5277303.62</v>
      </c>
    </row>
    <row r="11" spans="1:19" x14ac:dyDescent="0.3">
      <c r="A11" s="10" t="s">
        <v>36</v>
      </c>
      <c r="B11" s="15">
        <v>63362.070000000007</v>
      </c>
      <c r="C11" s="15">
        <v>37382.160000000003</v>
      </c>
      <c r="E11" s="10" t="s">
        <v>20</v>
      </c>
      <c r="F11" s="15">
        <v>70.716837133306484</v>
      </c>
      <c r="H11" s="10" t="s">
        <v>113</v>
      </c>
      <c r="I11" s="15">
        <v>61475.908695999999</v>
      </c>
      <c r="K11" s="10" t="s">
        <v>122</v>
      </c>
      <c r="L11" s="15">
        <v>3126091.6500000004</v>
      </c>
      <c r="M11" s="15">
        <v>820939.23600099981</v>
      </c>
      <c r="Q11" s="10" t="s">
        <v>122</v>
      </c>
      <c r="R11" s="15">
        <v>26580457.839999996</v>
      </c>
      <c r="S11" s="15">
        <v>29706549.489999998</v>
      </c>
    </row>
    <row r="12" spans="1:19" x14ac:dyDescent="0.3">
      <c r="A12" s="10" t="s">
        <v>122</v>
      </c>
      <c r="B12" s="15">
        <v>305617.41000000003</v>
      </c>
      <c r="C12" s="15">
        <v>185150</v>
      </c>
      <c r="E12" s="10" t="s">
        <v>122</v>
      </c>
      <c r="F12" s="15">
        <v>99.999999999999972</v>
      </c>
      <c r="H12" s="10" t="s">
        <v>64</v>
      </c>
      <c r="I12" s="15">
        <v>30191.184292000005</v>
      </c>
    </row>
    <row r="13" spans="1:19" x14ac:dyDescent="0.3">
      <c r="H13" s="10" t="s">
        <v>61</v>
      </c>
      <c r="I13" s="15">
        <v>22552.097889000001</v>
      </c>
    </row>
    <row r="14" spans="1:19" x14ac:dyDescent="0.3">
      <c r="A14" s="9" t="s">
        <v>121</v>
      </c>
      <c r="B14" t="s">
        <v>135</v>
      </c>
      <c r="C14" t="s">
        <v>137</v>
      </c>
      <c r="E14" s="9" t="s">
        <v>121</v>
      </c>
      <c r="F14" t="s">
        <v>138</v>
      </c>
      <c r="H14" s="10" t="s">
        <v>35</v>
      </c>
      <c r="I14" s="15">
        <v>18730.750752</v>
      </c>
      <c r="K14" s="9" t="s">
        <v>121</v>
      </c>
      <c r="L14" t="s">
        <v>145</v>
      </c>
      <c r="N14" s="9" t="s">
        <v>121</v>
      </c>
      <c r="O14" t="s">
        <v>146</v>
      </c>
      <c r="Q14" s="9" t="s">
        <v>121</v>
      </c>
      <c r="R14" t="s">
        <v>144</v>
      </c>
    </row>
    <row r="15" spans="1:19" x14ac:dyDescent="0.3">
      <c r="A15" s="10" t="s">
        <v>27</v>
      </c>
      <c r="B15" s="15">
        <v>9.1261833531902852</v>
      </c>
      <c r="C15" s="15">
        <v>2.7033962264150948</v>
      </c>
      <c r="E15" s="10" t="s">
        <v>55</v>
      </c>
      <c r="F15" s="15">
        <v>5279499.919999999</v>
      </c>
      <c r="H15" s="10" t="s">
        <v>92</v>
      </c>
      <c r="I15" s="15">
        <v>16831.297173999999</v>
      </c>
      <c r="K15" s="10" t="s">
        <v>66</v>
      </c>
      <c r="L15" s="15">
        <v>23.78265398237896</v>
      </c>
      <c r="N15" s="10" t="s">
        <v>66</v>
      </c>
      <c r="O15" s="15">
        <v>10.74</v>
      </c>
      <c r="Q15" s="10" t="s">
        <v>66</v>
      </c>
      <c r="R15" s="15">
        <v>1047110.6599999999</v>
      </c>
    </row>
    <row r="16" spans="1:19" x14ac:dyDescent="0.3">
      <c r="A16" s="10" t="s">
        <v>22</v>
      </c>
      <c r="B16" s="15">
        <v>13.652323219672821</v>
      </c>
      <c r="C16" s="15">
        <v>2.8650000000000002</v>
      </c>
      <c r="E16" s="10" t="s">
        <v>26</v>
      </c>
      <c r="F16" s="15">
        <v>8270114.0199999996</v>
      </c>
      <c r="H16" s="10" t="s">
        <v>87</v>
      </c>
      <c r="I16" s="15">
        <v>8965.562711999999</v>
      </c>
      <c r="K16" s="10" t="s">
        <v>59</v>
      </c>
      <c r="L16" s="15">
        <v>23.620538193315721</v>
      </c>
      <c r="N16" s="10" t="s">
        <v>59</v>
      </c>
      <c r="O16" s="15">
        <v>37.810000000000009</v>
      </c>
      <c r="Q16" s="10" t="s">
        <v>59</v>
      </c>
      <c r="R16" s="15">
        <v>3769445.25</v>
      </c>
    </row>
    <row r="17" spans="1:18" x14ac:dyDescent="0.3">
      <c r="A17" s="10" t="s">
        <v>42</v>
      </c>
      <c r="B17" s="15">
        <v>7.5568454821973532</v>
      </c>
      <c r="C17" s="15">
        <v>1.9742857142857138</v>
      </c>
      <c r="E17" s="10" t="s">
        <v>50</v>
      </c>
      <c r="F17" s="15">
        <v>4469923.2600000007</v>
      </c>
      <c r="H17" s="10" t="s">
        <v>88</v>
      </c>
      <c r="I17" s="15">
        <v>3404.0813699999999</v>
      </c>
      <c r="K17" s="10" t="s">
        <v>40</v>
      </c>
      <c r="L17" s="15">
        <v>90.635302325107133</v>
      </c>
      <c r="N17" s="10" t="s">
        <v>40</v>
      </c>
      <c r="O17" s="15">
        <v>41.89</v>
      </c>
      <c r="Q17" s="10" t="s">
        <v>40</v>
      </c>
      <c r="R17" s="15">
        <v>4584951.96</v>
      </c>
    </row>
    <row r="18" spans="1:18" x14ac:dyDescent="0.3">
      <c r="A18" s="10" t="s">
        <v>122</v>
      </c>
      <c r="B18" s="15">
        <v>9.826180852046571</v>
      </c>
      <c r="C18" s="15">
        <v>2.617529411764707</v>
      </c>
      <c r="E18" s="10" t="s">
        <v>97</v>
      </c>
      <c r="F18" s="15">
        <v>574288.75</v>
      </c>
      <c r="H18" s="10" t="s">
        <v>45</v>
      </c>
      <c r="I18" s="15">
        <v>7286.3811900000019</v>
      </c>
      <c r="K18" s="10" t="s">
        <v>19</v>
      </c>
      <c r="L18" s="15">
        <v>183.34739352696604</v>
      </c>
      <c r="N18" s="10" t="s">
        <v>19</v>
      </c>
      <c r="O18" s="15">
        <v>46.07</v>
      </c>
      <c r="Q18" s="10" t="s">
        <v>19</v>
      </c>
      <c r="R18" s="15">
        <v>6324061.8199999994</v>
      </c>
    </row>
    <row r="19" spans="1:18" x14ac:dyDescent="0.3">
      <c r="E19" s="10" t="s">
        <v>21</v>
      </c>
      <c r="F19" s="15">
        <v>7986631.8899999987</v>
      </c>
      <c r="H19" s="10" t="s">
        <v>116</v>
      </c>
      <c r="I19" s="15">
        <v>27534.083241999997</v>
      </c>
      <c r="K19" s="10" t="s">
        <v>49</v>
      </c>
      <c r="L19" s="15">
        <v>15.842874666385342</v>
      </c>
      <c r="N19" s="10" t="s">
        <v>49</v>
      </c>
      <c r="O19" s="15">
        <v>16.149999999999999</v>
      </c>
      <c r="Q19" s="10" t="s">
        <v>49</v>
      </c>
      <c r="R19" s="15">
        <v>2012998.75</v>
      </c>
    </row>
    <row r="20" spans="1:18" x14ac:dyDescent="0.3">
      <c r="E20" s="10" t="s">
        <v>122</v>
      </c>
      <c r="F20" s="15">
        <v>26580457.839999996</v>
      </c>
      <c r="H20" s="10" t="s">
        <v>53</v>
      </c>
      <c r="I20" s="15">
        <v>7911.9110599999995</v>
      </c>
      <c r="K20" s="10" t="s">
        <v>25</v>
      </c>
      <c r="L20" s="15">
        <v>197.73621926105716</v>
      </c>
      <c r="N20" s="10" t="s">
        <v>25</v>
      </c>
      <c r="O20" s="15">
        <v>29.789999999999996</v>
      </c>
      <c r="Q20" s="10" t="s">
        <v>25</v>
      </c>
      <c r="R20" s="15">
        <v>4485376.5999999996</v>
      </c>
    </row>
    <row r="21" spans="1:18" x14ac:dyDescent="0.3">
      <c r="A21" s="9" t="s">
        <v>121</v>
      </c>
      <c r="B21" t="s">
        <v>142</v>
      </c>
      <c r="H21" s="10" t="s">
        <v>93</v>
      </c>
      <c r="I21" s="15">
        <v>17275.727821</v>
      </c>
      <c r="K21" s="10" t="s">
        <v>54</v>
      </c>
      <c r="L21" s="15">
        <v>132.24733314701916</v>
      </c>
      <c r="N21" s="10" t="s">
        <v>54</v>
      </c>
      <c r="O21" s="15">
        <v>7.2999999999999989</v>
      </c>
      <c r="Q21" s="10" t="s">
        <v>54</v>
      </c>
      <c r="R21" s="15">
        <v>2205300.83</v>
      </c>
    </row>
    <row r="22" spans="1:18" x14ac:dyDescent="0.3">
      <c r="A22" s="10" t="s">
        <v>41</v>
      </c>
      <c r="B22" s="15">
        <v>3109</v>
      </c>
      <c r="H22" s="10" t="s">
        <v>65</v>
      </c>
      <c r="I22" s="15">
        <v>12073.607506</v>
      </c>
      <c r="K22" s="10" t="s">
        <v>36</v>
      </c>
      <c r="L22" s="15">
        <v>168.01305732172938</v>
      </c>
      <c r="N22" s="10" t="s">
        <v>36</v>
      </c>
      <c r="O22" s="15">
        <v>32.74</v>
      </c>
      <c r="Q22" s="10" t="s">
        <v>36</v>
      </c>
      <c r="R22" s="15">
        <v>5277303.62</v>
      </c>
    </row>
    <row r="23" spans="1:18" x14ac:dyDescent="0.3">
      <c r="A23" s="10" t="s">
        <v>20</v>
      </c>
      <c r="B23" s="15">
        <v>6334</v>
      </c>
      <c r="H23" s="10" t="s">
        <v>58</v>
      </c>
      <c r="I23" s="15">
        <v>28518.272893999998</v>
      </c>
      <c r="K23" s="10" t="s">
        <v>122</v>
      </c>
      <c r="L23" s="15">
        <v>835.22537242395879</v>
      </c>
      <c r="N23" s="10" t="s">
        <v>122</v>
      </c>
      <c r="O23" s="15">
        <v>222.49000000000004</v>
      </c>
      <c r="Q23" s="10" t="s">
        <v>122</v>
      </c>
      <c r="R23" s="15">
        <v>29706549.489999998</v>
      </c>
    </row>
    <row r="24" spans="1:18" x14ac:dyDescent="0.3">
      <c r="A24" s="10" t="s">
        <v>122</v>
      </c>
      <c r="B24" s="15">
        <v>9443</v>
      </c>
      <c r="H24" s="10" t="s">
        <v>114</v>
      </c>
      <c r="I24" s="15">
        <v>50950.544971000003</v>
      </c>
    </row>
    <row r="25" spans="1:18" x14ac:dyDescent="0.3">
      <c r="H25" s="10" t="s">
        <v>39</v>
      </c>
      <c r="I25" s="15">
        <v>57417.837425000005</v>
      </c>
    </row>
    <row r="26" spans="1:18" x14ac:dyDescent="0.3">
      <c r="A26" s="9" t="s">
        <v>121</v>
      </c>
      <c r="B26" t="s">
        <v>147</v>
      </c>
      <c r="H26" s="10" t="s">
        <v>78</v>
      </c>
      <c r="I26" s="15">
        <v>41139.654151999988</v>
      </c>
    </row>
    <row r="27" spans="1:18" x14ac:dyDescent="0.3">
      <c r="A27" s="10" t="s">
        <v>41</v>
      </c>
      <c r="B27" s="15">
        <v>29</v>
      </c>
      <c r="H27" s="10" t="s">
        <v>112</v>
      </c>
      <c r="I27" s="15">
        <v>54519.961189000009</v>
      </c>
    </row>
    <row r="28" spans="1:18" x14ac:dyDescent="0.3">
      <c r="A28" s="10" t="s">
        <v>20</v>
      </c>
      <c r="B28" s="15">
        <v>56</v>
      </c>
      <c r="H28" s="10" t="s">
        <v>70</v>
      </c>
      <c r="I28" s="15">
        <v>22833.847537000001</v>
      </c>
    </row>
    <row r="29" spans="1:18" x14ac:dyDescent="0.3">
      <c r="A29" s="10" t="s">
        <v>122</v>
      </c>
      <c r="B29" s="15">
        <v>85</v>
      </c>
      <c r="H29" s="10" t="s">
        <v>100</v>
      </c>
      <c r="I29" s="15">
        <v>26488.687680000003</v>
      </c>
    </row>
    <row r="30" spans="1:18" x14ac:dyDescent="0.3">
      <c r="H30" s="10" t="s">
        <v>74</v>
      </c>
      <c r="I30" s="15">
        <v>31755.587159999995</v>
      </c>
    </row>
    <row r="31" spans="1:18" x14ac:dyDescent="0.3">
      <c r="H31" s="10" t="s">
        <v>118</v>
      </c>
      <c r="I31" s="15">
        <v>944.88829499999997</v>
      </c>
    </row>
    <row r="32" spans="1:18" x14ac:dyDescent="0.3">
      <c r="H32" s="10" t="s">
        <v>33</v>
      </c>
      <c r="I32" s="15">
        <v>14097.386227000001</v>
      </c>
    </row>
    <row r="33" spans="8:9" x14ac:dyDescent="0.3">
      <c r="H33" s="10" t="s">
        <v>99</v>
      </c>
      <c r="I33" s="15">
        <v>50474.850169999991</v>
      </c>
    </row>
    <row r="34" spans="8:9" x14ac:dyDescent="0.3">
      <c r="H34" s="10" t="s">
        <v>103</v>
      </c>
      <c r="I34" s="15">
        <v>4865.2522799999997</v>
      </c>
    </row>
    <row r="35" spans="8:9" x14ac:dyDescent="0.3">
      <c r="H35" s="10" t="s">
        <v>117</v>
      </c>
      <c r="I35" s="15">
        <v>37409.16289</v>
      </c>
    </row>
    <row r="36" spans="8:9" x14ac:dyDescent="0.3">
      <c r="H36" s="10" t="s">
        <v>122</v>
      </c>
      <c r="I36" s="15">
        <v>820939.23600100016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4E2CA1-FBA1-4F10-912B-92E28866D6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26</vt:i4>
      </vt:variant>
    </vt:vector>
  </HeadingPairs>
  <TitlesOfParts>
    <vt:vector size="32" baseType="lpstr">
      <vt:lpstr>DATA</vt:lpstr>
      <vt:lpstr>STOCK</vt:lpstr>
      <vt:lpstr>SECTOR</vt:lpstr>
      <vt:lpstr>PAYMENT</vt:lpstr>
      <vt:lpstr>VISUAL</vt:lpstr>
      <vt:lpstr>EXTRAS</vt:lpstr>
      <vt:lpstr>_52_Week_High</vt:lpstr>
      <vt:lpstr>_52_Week_Low</vt:lpstr>
      <vt:lpstr>Brokerage_Paid</vt:lpstr>
      <vt:lpstr>Buy_Date</vt:lpstr>
      <vt:lpstr>Buy_Price</vt:lpstr>
      <vt:lpstr>Current_Price</vt:lpstr>
      <vt:lpstr>Dividend</vt:lpstr>
      <vt:lpstr>Dividend_Received</vt:lpstr>
      <vt:lpstr>email</vt:lpstr>
      <vt:lpstr>Exchange</vt:lpstr>
      <vt:lpstr>First_Name</vt:lpstr>
      <vt:lpstr>Last_Name</vt:lpstr>
      <vt:lpstr>No._of_Shares</vt:lpstr>
      <vt:lpstr>number</vt:lpstr>
      <vt:lpstr>Payment_Mode</vt:lpstr>
      <vt:lpstr>Portfolio_Weight</vt:lpstr>
      <vt:lpstr>Profit__Loss</vt:lpstr>
      <vt:lpstr>Return</vt:lpstr>
      <vt:lpstr>Sector</vt:lpstr>
      <vt:lpstr>Status</vt:lpstr>
      <vt:lpstr>Stock_Name</vt:lpstr>
      <vt:lpstr>Total_Current_Value</vt:lpstr>
      <vt:lpstr>Total_Purchase_Price</vt:lpstr>
      <vt:lpstr>User_ID</vt:lpstr>
      <vt:lpstr>Week_High</vt:lpstr>
      <vt:lpstr>Week_Low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Hitashi Sharma</dc:creator>
  <cp:lastModifiedBy>Hitashi Sharma</cp:lastModifiedBy>
  <dcterms:created xsi:type="dcterms:W3CDTF">2026-06-01T17:57:16Z</dcterms:created>
  <dcterms:modified xsi:type="dcterms:W3CDTF">2026-06-02T19:47:47Z</dcterms:modified>
</cp:coreProperties>
</file>